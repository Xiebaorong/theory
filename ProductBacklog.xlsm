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RISPACS\02_RISCE35\"/>
    </mc:Choice>
  </mc:AlternateContent>
  <bookViews>
    <workbookView xWindow="0" yWindow="2400" windowWidth="15360" windowHeight="5370" activeTab="9"/>
  </bookViews>
  <sheets>
    <sheet name="README" sheetId="15" r:id="rId1"/>
    <sheet name="BACKLOG" sheetId="1" r:id="rId2"/>
    <sheet name="CARDS" sheetId="67" r:id="rId3"/>
    <sheet name="TEMPLATE" sheetId="2" r:id="rId4"/>
    <sheet name="DoD" sheetId="52" r:id="rId5"/>
    <sheet name="Chart" sheetId="51" r:id="rId6"/>
    <sheet name="Sprint1-2" sheetId="53" r:id="rId7"/>
    <sheet name="Sprint3-4" sheetId="54" r:id="rId8"/>
    <sheet name="Sprint5-6" sheetId="62" r:id="rId9"/>
    <sheet name="Sprint7" sheetId="66" r:id="rId10"/>
    <sheet name="SP2 Burn Down" sheetId="55" r:id="rId11"/>
    <sheet name="SP3 Burn Down" sheetId="56" r:id="rId12"/>
    <sheet name="SP4 Burn Down" sheetId="61" r:id="rId13"/>
    <sheet name="SP5 Burn Down" sheetId="64" r:id="rId14"/>
    <sheet name="SP6 Burn Down" sheetId="65" r:id="rId15"/>
  </sheets>
  <functionGroups builtInGroupCount="18"/>
  <definedNames>
    <definedName name="_xlnm._FilterDatabase" localSheetId="1" hidden="1">BACKLOG!$A$1:$M$68</definedName>
    <definedName name="_xlnm.Print_Area" localSheetId="1">BACKLOG!$A:$F</definedName>
  </definedNames>
  <calcPr calcId="152511"/>
</workbook>
</file>

<file path=xl/calcChain.xml><?xml version="1.0" encoding="utf-8"?>
<calcChain xmlns="http://schemas.openxmlformats.org/spreadsheetml/2006/main">
  <c r="D7" i="51" l="1"/>
  <c r="C9" i="66"/>
  <c r="D9" i="66"/>
  <c r="D3" i="51"/>
  <c r="D4" i="51" s="1"/>
  <c r="D5" i="51" s="1"/>
  <c r="D6" i="51" s="1"/>
  <c r="C6" i="65"/>
  <c r="C5" i="65"/>
  <c r="C4" i="65"/>
  <c r="C3" i="65"/>
  <c r="C2" i="65"/>
  <c r="C1" i="65"/>
  <c r="C6" i="64"/>
  <c r="C5" i="64"/>
  <c r="C4" i="64"/>
  <c r="C3" i="64"/>
  <c r="C2" i="64"/>
  <c r="C1" i="64"/>
  <c r="M62" i="1" l="1"/>
  <c r="M61" i="1"/>
  <c r="D11" i="62"/>
  <c r="B11" i="62"/>
  <c r="B10" i="62"/>
  <c r="D4" i="62"/>
  <c r="B4" i="62"/>
  <c r="D3" i="62"/>
  <c r="B3" i="62"/>
  <c r="C12" i="62"/>
  <c r="D12" i="62" l="1"/>
  <c r="C6" i="61"/>
  <c r="C5" i="61"/>
  <c r="C4" i="61"/>
  <c r="C3" i="61"/>
  <c r="C2" i="61"/>
  <c r="C1" i="61"/>
  <c r="M60" i="1" l="1"/>
  <c r="M59" i="1"/>
  <c r="M58" i="1"/>
  <c r="M57" i="1"/>
  <c r="M56" i="1"/>
  <c r="M54" i="1"/>
  <c r="M53" i="1"/>
  <c r="M52" i="1"/>
  <c r="M51" i="1"/>
  <c r="M50" i="1"/>
  <c r="M49" i="1"/>
  <c r="M48" i="1"/>
  <c r="M47" i="1"/>
  <c r="M46" i="1"/>
  <c r="M45" i="1"/>
  <c r="M44" i="1"/>
  <c r="M43" i="1"/>
  <c r="M41" i="1"/>
  <c r="M40" i="1"/>
  <c r="M39"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38" i="1"/>
  <c r="C6" i="56" l="1"/>
  <c r="C5" i="56"/>
  <c r="C4" i="56"/>
  <c r="C3" i="56"/>
  <c r="C2" i="56"/>
  <c r="C1" i="56"/>
  <c r="C6" i="55"/>
  <c r="C5" i="55"/>
  <c r="C4" i="55"/>
  <c r="C3" i="55"/>
  <c r="C2" i="55"/>
  <c r="C1" i="55"/>
  <c r="D15" i="54" l="1"/>
  <c r="C15" i="54"/>
  <c r="D98" i="1" l="1"/>
  <c r="H98" i="1"/>
  <c r="F98" i="1"/>
</calcChain>
</file>

<file path=xl/comments1.xml><?xml version="1.0" encoding="utf-8"?>
<comments xmlns="http://schemas.openxmlformats.org/spreadsheetml/2006/main">
  <authors>
    <author>Henrik</author>
  </authors>
  <commentList>
    <comment ref="A1" authorId="0" shapeId="0">
      <text>
        <r>
          <rPr>
            <b/>
            <sz val="8"/>
            <color indexed="81"/>
            <rFont val="Tahoma"/>
            <family val="2"/>
          </rPr>
          <t>Henrik:</t>
        </r>
        <r>
          <rPr>
            <sz val="8"/>
            <color indexed="81"/>
            <rFont val="Tahoma"/>
            <family val="2"/>
          </rPr>
          <t xml:space="preserve">
Unique ID</t>
        </r>
      </text>
    </comment>
    <comment ref="B1" authorId="0" shapeId="0">
      <text>
        <r>
          <rPr>
            <b/>
            <sz val="8"/>
            <color indexed="81"/>
            <rFont val="Tahoma"/>
            <family val="2"/>
          </rPr>
          <t>Henrik:</t>
        </r>
        <r>
          <rPr>
            <sz val="8"/>
            <color indexed="81"/>
            <rFont val="Tahoma"/>
            <family val="2"/>
          </rPr>
          <t xml:space="preserve">
Importance. High = more importance. Used only for sorting in priority order. Only product owner is allowed to set this.</t>
        </r>
      </text>
    </comment>
    <comment ref="F1" authorId="0" shapeId="0">
      <text>
        <r>
          <rPr>
            <b/>
            <sz val="8"/>
            <color indexed="81"/>
            <rFont val="Tahoma"/>
            <family val="2"/>
          </rPr>
          <t>Henrik:</t>
        </r>
        <r>
          <rPr>
            <sz val="8"/>
            <color indexed="81"/>
            <rFont val="Tahoma"/>
            <family val="2"/>
          </rPr>
          <t xml:space="preserve">
Relative size of this story. Only the team is allowed to set this.</t>
        </r>
      </text>
    </comment>
  </commentList>
</comments>
</file>

<file path=xl/sharedStrings.xml><?xml version="1.0" encoding="utf-8"?>
<sst xmlns="http://schemas.openxmlformats.org/spreadsheetml/2006/main" count="385" uniqueCount="240">
  <si>
    <t>Name</t>
  </si>
  <si>
    <t>Importance</t>
  </si>
  <si>
    <t>Notes</t>
  </si>
  <si>
    <t>Backlog item #</t>
  </si>
  <si>
    <t>Estimate</t>
  </si>
  <si>
    <t>How to demo</t>
  </si>
  <si>
    <t>Story name description</t>
  </si>
  <si>
    <t>Notes for this story</t>
  </si>
  <si>
    <t>This explains how to demo</t>
  </si>
  <si>
    <t>ID</t>
  </si>
  <si>
    <t>Imp</t>
  </si>
  <si>
    <t>How to test</t>
  </si>
  <si>
    <t>Direct Value?</t>
    <phoneticPr fontId="0" type="noConversion"/>
  </si>
  <si>
    <t>Complete</t>
    <phoneticPr fontId="0" type="noConversion"/>
  </si>
  <si>
    <t>DirectValue to Customer?</t>
    <phoneticPr fontId="0" type="noConversion"/>
  </si>
  <si>
    <t>Category</t>
    <phoneticPr fontId="0" type="noConversion"/>
  </si>
  <si>
    <t>MT</t>
    <phoneticPr fontId="0" type="noConversion"/>
  </si>
  <si>
    <t>PrintController</t>
    <phoneticPr fontId="0" type="noConversion"/>
  </si>
  <si>
    <r>
      <rPr>
        <sz val="14"/>
        <rFont val="宋体"/>
        <family val="3"/>
        <charset val="134"/>
      </rPr>
      <t>作为场地工程师，我希望能够配置</t>
    </r>
    <r>
      <rPr>
        <sz val="14"/>
        <rFont val="GE Inspira"/>
        <family val="2"/>
      </rPr>
      <t>Patient Banner</t>
    </r>
    <r>
      <rPr>
        <sz val="14"/>
        <rFont val="宋体"/>
        <family val="3"/>
        <charset val="134"/>
      </rPr>
      <t>的某一个字段的字体颜色、字体大小和是否加粗</t>
    </r>
    <phoneticPr fontId="0" type="noConversion"/>
  </si>
  <si>
    <t>Feature Enhancement</t>
    <phoneticPr fontId="0" type="noConversion"/>
  </si>
  <si>
    <t>AT</t>
    <phoneticPr fontId="0" type="noConversion"/>
  </si>
  <si>
    <r>
      <rPr>
        <sz val="14"/>
        <rFont val="宋体"/>
        <family val="3"/>
        <charset val="134"/>
      </rPr>
      <t>作为集成工程师，我希望能够扩展查询的界面，可以增加自定义的查询条件，从而满足场地的自定义需求</t>
    </r>
    <phoneticPr fontId="0" type="noConversion"/>
  </si>
  <si>
    <r>
      <t>OCR</t>
    </r>
    <r>
      <rPr>
        <sz val="14"/>
        <color theme="1"/>
        <rFont val="宋体"/>
        <family val="3"/>
        <charset val="134"/>
      </rPr>
      <t>识别</t>
    </r>
    <phoneticPr fontId="0" type="noConversion"/>
  </si>
  <si>
    <r>
      <rPr>
        <sz val="14"/>
        <color theme="1"/>
        <rFont val="宋体"/>
        <family val="3"/>
        <charset val="134"/>
      </rPr>
      <t>多次识别</t>
    </r>
    <phoneticPr fontId="0" type="noConversion"/>
  </si>
  <si>
    <r>
      <rPr>
        <sz val="14"/>
        <color theme="1"/>
        <rFont val="宋体"/>
        <family val="3"/>
        <charset val="134"/>
      </rPr>
      <t>多行识别</t>
    </r>
    <phoneticPr fontId="0" type="noConversion"/>
  </si>
  <si>
    <r>
      <rPr>
        <sz val="14"/>
        <color theme="1"/>
        <rFont val="宋体"/>
        <family val="3"/>
        <charset val="134"/>
      </rPr>
      <t>彩色打印支持</t>
    </r>
    <phoneticPr fontId="0" type="noConversion"/>
  </si>
  <si>
    <r>
      <rPr>
        <sz val="14"/>
        <color theme="1"/>
        <rFont val="宋体"/>
        <family val="3"/>
        <charset val="134"/>
      </rPr>
      <t>数据清理</t>
    </r>
    <phoneticPr fontId="0" type="noConversion"/>
  </si>
  <si>
    <r>
      <t>RIS-&gt;PC</t>
    </r>
    <r>
      <rPr>
        <sz val="14"/>
        <color theme="1"/>
        <rFont val="宋体"/>
        <family val="3"/>
        <charset val="134"/>
      </rPr>
      <t>的集成</t>
    </r>
    <phoneticPr fontId="0" type="noConversion"/>
  </si>
  <si>
    <r>
      <t>PC-&gt;RIS</t>
    </r>
    <r>
      <rPr>
        <sz val="14"/>
        <color theme="1"/>
        <rFont val="宋体"/>
        <family val="3"/>
        <charset val="134"/>
      </rPr>
      <t>的集成</t>
    </r>
    <phoneticPr fontId="0" type="noConversion"/>
  </si>
  <si>
    <r>
      <t>Web</t>
    </r>
    <r>
      <rPr>
        <sz val="14"/>
        <color theme="1"/>
        <rFont val="宋体"/>
        <family val="3"/>
        <charset val="134"/>
      </rPr>
      <t>集成</t>
    </r>
    <phoneticPr fontId="0" type="noConversion"/>
  </si>
  <si>
    <t>Comment</t>
    <phoneticPr fontId="0" type="noConversion"/>
  </si>
  <si>
    <r>
      <rPr>
        <sz val="14"/>
        <rFont val="宋体"/>
        <family val="3"/>
        <charset val="134"/>
      </rPr>
      <t>作为场地工程师，我希望能够配置登记台的某一个字段的字体颜色和是否加粗</t>
    </r>
    <phoneticPr fontId="0" type="noConversion"/>
  </si>
  <si>
    <r>
      <rPr>
        <sz val="14"/>
        <color theme="1"/>
        <rFont val="宋体"/>
        <family val="3"/>
        <charset val="134"/>
      </rPr>
      <t>从</t>
    </r>
    <r>
      <rPr>
        <sz val="14"/>
        <color theme="1"/>
        <rFont val="GE Inspira"/>
        <family val="2"/>
      </rPr>
      <t>PACS</t>
    </r>
    <r>
      <rPr>
        <sz val="14"/>
        <color theme="1"/>
        <rFont val="宋体"/>
        <family val="3"/>
        <charset val="134"/>
      </rPr>
      <t>获取</t>
    </r>
    <r>
      <rPr>
        <sz val="14"/>
        <color theme="1"/>
        <rFont val="GE Inspira"/>
        <family val="2"/>
      </rPr>
      <t>DICOM</t>
    </r>
    <r>
      <rPr>
        <sz val="14"/>
        <color theme="1"/>
        <rFont val="宋体"/>
        <family val="3"/>
        <charset val="134"/>
      </rPr>
      <t>图像</t>
    </r>
    <phoneticPr fontId="0" type="noConversion"/>
  </si>
  <si>
    <r>
      <rPr>
        <sz val="14"/>
        <color theme="1"/>
        <rFont val="宋体"/>
        <family val="3"/>
        <charset val="134"/>
      </rPr>
      <t>存储打印任务的</t>
    </r>
    <r>
      <rPr>
        <sz val="14"/>
        <color theme="1"/>
        <rFont val="GE Inspira"/>
        <family val="2"/>
      </rPr>
      <t>Pixel Data</t>
    </r>
    <r>
      <rPr>
        <sz val="14"/>
        <color theme="1"/>
        <rFont val="宋体"/>
        <family val="3"/>
        <charset val="134"/>
      </rPr>
      <t>在</t>
    </r>
    <r>
      <rPr>
        <sz val="14"/>
        <color theme="1"/>
        <rFont val="GE Inspira"/>
        <family val="2"/>
      </rPr>
      <t>PACS</t>
    </r>
    <phoneticPr fontId="0" type="noConversion"/>
  </si>
  <si>
    <r>
      <t>Alt-T</t>
    </r>
    <r>
      <rPr>
        <sz val="14"/>
        <rFont val="宋体"/>
        <family val="3"/>
        <charset val="134"/>
      </rPr>
      <t>窗口预约时间段的按钮被覆盖了</t>
    </r>
    <phoneticPr fontId="0" type="noConversion"/>
  </si>
  <si>
    <r>
      <rPr>
        <sz val="14"/>
        <rFont val="宋体"/>
        <family val="3"/>
        <charset val="134"/>
      </rPr>
      <t>预约窗口的高度调低一些</t>
    </r>
    <phoneticPr fontId="0" type="noConversion"/>
  </si>
  <si>
    <r>
      <rPr>
        <sz val="14"/>
        <rFont val="宋体"/>
        <family val="3"/>
        <charset val="134"/>
      </rPr>
      <t>高级查询项目列数可调或者可以滚动</t>
    </r>
    <phoneticPr fontId="0" type="noConversion"/>
  </si>
  <si>
    <r>
      <rPr>
        <sz val="14"/>
        <rFont val="宋体"/>
        <family val="3"/>
        <charset val="134"/>
      </rPr>
      <t>检查方法无法拼音定位</t>
    </r>
    <phoneticPr fontId="0" type="noConversion"/>
  </si>
  <si>
    <r>
      <t>RISCAT</t>
    </r>
    <r>
      <rPr>
        <sz val="14"/>
        <rFont val="宋体"/>
        <family val="3"/>
        <charset val="134"/>
      </rPr>
      <t>中增加从其他设备复制检查方法的功能，类似</t>
    </r>
    <r>
      <rPr>
        <sz val="14"/>
        <rFont val="GE Inspira"/>
        <family val="2"/>
      </rPr>
      <t>SCU</t>
    </r>
    <phoneticPr fontId="0" type="noConversion"/>
  </si>
  <si>
    <r>
      <t>“</t>
    </r>
    <r>
      <rPr>
        <sz val="14"/>
        <rFont val="宋体"/>
        <family val="3"/>
        <charset val="134"/>
      </rPr>
      <t>按排序规则插入</t>
    </r>
    <r>
      <rPr>
        <sz val="14"/>
        <rFont val="GE Inspira"/>
        <family val="2"/>
      </rPr>
      <t>”</t>
    </r>
    <r>
      <rPr>
        <sz val="14"/>
        <rFont val="宋体"/>
        <family val="3"/>
        <charset val="134"/>
      </rPr>
      <t>的勾，无法保存到账户配置文件中</t>
    </r>
    <phoneticPr fontId="0" type="noConversion"/>
  </si>
  <si>
    <t>高级查询设备分组、检查设备、检查部位栏，增加高度，且栏内默认状态为非全选</t>
    <phoneticPr fontId="0" type="noConversion"/>
  </si>
  <si>
    <t>浙江省中医院</t>
    <phoneticPr fontId="0" type="noConversion"/>
  </si>
  <si>
    <t>台州</t>
    <phoneticPr fontId="0" type="noConversion"/>
  </si>
  <si>
    <t>上海肿瘤</t>
    <phoneticPr fontId="0" type="noConversion"/>
  </si>
  <si>
    <t>作为PC服务器，我接收到打印任务之后，可以将打印任务存储在本地</t>
    <phoneticPr fontId="0" type="noConversion"/>
  </si>
  <si>
    <r>
      <t xml:space="preserve">1. </t>
    </r>
    <r>
      <rPr>
        <sz val="14"/>
        <rFont val="宋体"/>
        <family val="3"/>
        <charset val="134"/>
      </rPr>
      <t>利用</t>
    </r>
    <r>
      <rPr>
        <sz val="14"/>
        <rFont val="GE Inspira"/>
        <family val="2"/>
      </rPr>
      <t>PrintController</t>
    </r>
    <r>
      <rPr>
        <sz val="14"/>
        <rFont val="宋体"/>
        <family val="3"/>
        <charset val="134"/>
      </rPr>
      <t>的打印客户端，发送一个</t>
    </r>
    <r>
      <rPr>
        <sz val="14"/>
        <rFont val="GE Inspira"/>
        <family val="2"/>
      </rPr>
      <t>2</t>
    </r>
    <r>
      <rPr>
        <sz val="14"/>
        <rFont val="宋体"/>
        <family val="3"/>
        <charset val="134"/>
      </rPr>
      <t>张</t>
    </r>
    <r>
      <rPr>
        <sz val="14"/>
        <rFont val="GE Inspira"/>
        <family val="2"/>
      </rPr>
      <t>2x2</t>
    </r>
    <r>
      <rPr>
        <sz val="14"/>
        <rFont val="宋体"/>
        <family val="3"/>
        <charset val="134"/>
      </rPr>
      <t xml:space="preserve">胶片的打印任务
</t>
    </r>
    <r>
      <rPr>
        <sz val="14"/>
        <rFont val="GE Inspira"/>
        <family val="2"/>
      </rPr>
      <t xml:space="preserve">2. </t>
    </r>
    <r>
      <rPr>
        <sz val="14"/>
        <rFont val="宋体"/>
        <family val="3"/>
        <charset val="134"/>
      </rPr>
      <t>可以将打印任务和胶片的信息存在数据库中，</t>
    </r>
    <r>
      <rPr>
        <sz val="14"/>
        <rFont val="GE Inspira"/>
        <family val="2"/>
      </rPr>
      <t>database</t>
    </r>
    <r>
      <rPr>
        <sz val="14"/>
        <rFont val="宋体"/>
        <family val="3"/>
        <charset val="134"/>
      </rPr>
      <t xml:space="preserve">沿用原来的结构
</t>
    </r>
    <r>
      <rPr>
        <sz val="14"/>
        <rFont val="GE Inspira"/>
        <family val="2"/>
      </rPr>
      <t xml:space="preserve">3. </t>
    </r>
    <r>
      <rPr>
        <sz val="14"/>
        <rFont val="宋体"/>
        <family val="3"/>
        <charset val="134"/>
      </rPr>
      <t>文件存在</t>
    </r>
    <r>
      <rPr>
        <sz val="14"/>
        <rFont val="GE Inspira"/>
        <family val="2"/>
      </rPr>
      <t>DPCConfig.xml</t>
    </r>
    <r>
      <rPr>
        <sz val="14"/>
        <rFont val="宋体"/>
        <family val="3"/>
        <charset val="134"/>
      </rPr>
      <t>制定的位置，命名规则沿用原来的方式</t>
    </r>
    <phoneticPr fontId="0" type="noConversion"/>
  </si>
  <si>
    <t>作为PC服务器，我可以从数据库和本地文件中重建打印任务对象</t>
    <phoneticPr fontId="0" type="noConversion"/>
  </si>
  <si>
    <t xml:space="preserve">AT
</t>
    <phoneticPr fontId="0" type="noConversion"/>
  </si>
  <si>
    <r>
      <t xml:space="preserve">AT
</t>
    </r>
    <r>
      <rPr>
        <sz val="14"/>
        <rFont val="宋体"/>
        <family val="3"/>
        <charset val="134"/>
      </rPr>
      <t>不考虑缩略图
需要补上原来的</t>
    </r>
    <r>
      <rPr>
        <sz val="14"/>
        <rFont val="GE Inspira"/>
        <family val="2"/>
      </rPr>
      <t>Story</t>
    </r>
    <r>
      <rPr>
        <sz val="14"/>
        <rFont val="宋体"/>
        <family val="3"/>
        <charset val="134"/>
      </rPr>
      <t>的自动化测试用例</t>
    </r>
    <phoneticPr fontId="0" type="noConversion"/>
  </si>
  <si>
    <r>
      <t xml:space="preserve">1. </t>
    </r>
    <r>
      <rPr>
        <sz val="14"/>
        <rFont val="宋体"/>
        <family val="3"/>
        <charset val="134"/>
      </rPr>
      <t>从数据库和本地文件构建打印任务，可以发送到</t>
    </r>
    <r>
      <rPr>
        <sz val="14"/>
        <rFont val="GE Inspira"/>
        <family val="2"/>
      </rPr>
      <t>PrintSCP</t>
    </r>
    <r>
      <rPr>
        <sz val="14"/>
        <rFont val="宋体"/>
        <family val="3"/>
        <charset val="134"/>
      </rPr>
      <t>，并且能够成功。</t>
    </r>
    <phoneticPr fontId="0" type="noConversion"/>
  </si>
  <si>
    <r>
      <t>Merge MyWorklist</t>
    </r>
    <r>
      <rPr>
        <sz val="14"/>
        <rFont val="宋体"/>
        <family val="3"/>
        <charset val="134"/>
      </rPr>
      <t>的新功能</t>
    </r>
    <phoneticPr fontId="0" type="noConversion"/>
  </si>
  <si>
    <t>台州</t>
    <phoneticPr fontId="0" type="noConversion"/>
  </si>
  <si>
    <r>
      <rPr>
        <sz val="14"/>
        <rFont val="宋体"/>
        <family val="3"/>
        <charset val="134"/>
      </rPr>
      <t>如果接收到的打印任务是来自相同的</t>
    </r>
    <r>
      <rPr>
        <sz val="14"/>
        <rFont val="GE Inspira"/>
        <family val="2"/>
      </rPr>
      <t>AE Titile</t>
    </r>
    <r>
      <rPr>
        <sz val="14"/>
        <rFont val="宋体"/>
        <family val="3"/>
        <charset val="134"/>
      </rPr>
      <t>，但是</t>
    </r>
    <r>
      <rPr>
        <sz val="14"/>
        <rFont val="GE Inspira"/>
        <family val="2"/>
      </rPr>
      <t>IP</t>
    </r>
    <r>
      <rPr>
        <sz val="14"/>
        <rFont val="宋体"/>
        <family val="3"/>
        <charset val="134"/>
      </rPr>
      <t>地址不相同，则拒绝打印任务</t>
    </r>
    <phoneticPr fontId="0" type="noConversion"/>
  </si>
  <si>
    <r>
      <rPr>
        <sz val="14"/>
        <rFont val="宋体"/>
        <family val="3"/>
        <charset val="134"/>
      </rPr>
      <t>如果接收到的打印任务是来自新的</t>
    </r>
    <r>
      <rPr>
        <sz val="14"/>
        <rFont val="GE Inspira"/>
        <family val="2"/>
      </rPr>
      <t>AE Title</t>
    </r>
    <r>
      <rPr>
        <sz val="14"/>
        <rFont val="宋体"/>
        <family val="3"/>
        <charset val="134"/>
      </rPr>
      <t>，则自动为其创建一个设备，并且将打印任务关联到这个设备上</t>
    </r>
    <phoneticPr fontId="0" type="noConversion"/>
  </si>
  <si>
    <r>
      <t xml:space="preserve">AT
</t>
    </r>
    <r>
      <rPr>
        <sz val="14"/>
        <rFont val="宋体"/>
        <family val="3"/>
        <charset val="134"/>
      </rPr>
      <t/>
    </r>
    <phoneticPr fontId="0" type="noConversion"/>
  </si>
  <si>
    <r>
      <t>AT;</t>
    </r>
    <r>
      <rPr>
        <sz val="14"/>
        <rFont val="宋体"/>
        <family val="3"/>
        <charset val="134"/>
      </rPr>
      <t>输入符是通过下拉框选择的</t>
    </r>
    <r>
      <rPr>
        <sz val="14"/>
        <rFont val="GE Inspira"/>
        <family val="2"/>
      </rPr>
      <t>;</t>
    </r>
    <r>
      <rPr>
        <sz val="14"/>
        <rFont val="宋体"/>
        <family val="3"/>
        <charset val="134"/>
      </rPr>
      <t>升级的时候旧数据默认操作符都是</t>
    </r>
    <r>
      <rPr>
        <sz val="14"/>
        <rFont val="GE Inspira"/>
        <family val="2"/>
      </rPr>
      <t>"=";</t>
    </r>
    <r>
      <rPr>
        <sz val="14"/>
        <rFont val="宋体"/>
        <family val="3"/>
        <charset val="134"/>
      </rPr>
      <t>改</t>
    </r>
    <r>
      <rPr>
        <sz val="14"/>
        <rFont val="GE Inspira"/>
        <family val="2"/>
      </rPr>
      <t>Admin Manual;</t>
    </r>
    <r>
      <rPr>
        <sz val="14"/>
        <rFont val="宋体"/>
        <family val="3"/>
        <charset val="134"/>
      </rPr>
      <t>如果是</t>
    </r>
    <r>
      <rPr>
        <sz val="14"/>
        <rFont val="GE Inspira"/>
        <family val="2"/>
      </rPr>
      <t>&gt;</t>
    </r>
    <r>
      <rPr>
        <sz val="14"/>
        <rFont val="宋体"/>
        <family val="3"/>
        <charset val="134"/>
      </rPr>
      <t>或者</t>
    </r>
    <r>
      <rPr>
        <sz val="14"/>
        <rFont val="GE Inspira"/>
        <family val="2"/>
      </rPr>
      <t>&lt;</t>
    </r>
    <r>
      <rPr>
        <sz val="14"/>
        <rFont val="宋体"/>
        <family val="3"/>
        <charset val="134"/>
      </rPr>
      <t>，只能是数字</t>
    </r>
    <phoneticPr fontId="0" type="noConversion"/>
  </si>
  <si>
    <r>
      <t>1</t>
    </r>
    <r>
      <rPr>
        <sz val="14"/>
        <rFont val="宋体"/>
        <family val="3"/>
        <charset val="134"/>
      </rPr>
      <t>、配置</t>
    </r>
    <r>
      <rPr>
        <sz val="14"/>
        <rFont val="GE Inspira"/>
        <family val="2"/>
      </rPr>
      <t>RISCAT SUID</t>
    </r>
    <r>
      <rPr>
        <sz val="14"/>
        <rFont val="宋体"/>
        <family val="3"/>
        <charset val="134"/>
      </rPr>
      <t>字段</t>
    </r>
    <r>
      <rPr>
        <sz val="14"/>
        <rFont val="GE Inspira"/>
        <family val="2"/>
      </rPr>
      <t xml:space="preserve"> = (</t>
    </r>
    <r>
      <rPr>
        <sz val="14"/>
        <rFont val="宋体"/>
        <family val="3"/>
        <charset val="134"/>
      </rPr>
      <t>空</t>
    </r>
    <r>
      <rPr>
        <sz val="14"/>
        <rFont val="GE Inspira"/>
        <family val="2"/>
      </rPr>
      <t>)</t>
    </r>
    <r>
      <rPr>
        <sz val="14"/>
        <rFont val="宋体"/>
        <family val="3"/>
        <charset val="134"/>
      </rPr>
      <t>字体颜色为红色，之后可以在</t>
    </r>
    <r>
      <rPr>
        <sz val="14"/>
        <rFont val="GE Inspira"/>
        <family val="2"/>
      </rPr>
      <t>RISCAT</t>
    </r>
    <r>
      <rPr>
        <sz val="14"/>
        <rFont val="宋体"/>
        <family val="3"/>
        <charset val="134"/>
      </rPr>
      <t>的规则列表中显示</t>
    </r>
    <r>
      <rPr>
        <sz val="14"/>
        <rFont val="GE Inspira"/>
        <family val="2"/>
      </rPr>
      <t>;2</t>
    </r>
    <r>
      <rPr>
        <sz val="14"/>
        <rFont val="宋体"/>
        <family val="3"/>
        <charset val="134"/>
      </rPr>
      <t>、配置备注字段</t>
    </r>
    <r>
      <rPr>
        <sz val="14"/>
        <rFont val="GE Inspira"/>
        <family val="2"/>
      </rPr>
      <t xml:space="preserve"> &lt;&gt; (</t>
    </r>
    <r>
      <rPr>
        <sz val="14"/>
        <rFont val="宋体"/>
        <family val="3"/>
        <charset val="134"/>
      </rPr>
      <t>空</t>
    </r>
    <r>
      <rPr>
        <sz val="14"/>
        <rFont val="GE Inspira"/>
        <family val="2"/>
      </rPr>
      <t xml:space="preserve">) </t>
    </r>
    <r>
      <rPr>
        <sz val="14"/>
        <rFont val="宋体"/>
        <family val="3"/>
        <charset val="134"/>
      </rPr>
      <t>字体颜色为蓝色，之后可以在</t>
    </r>
    <r>
      <rPr>
        <sz val="14"/>
        <rFont val="GE Inspira"/>
        <family val="2"/>
      </rPr>
      <t>RISCAT</t>
    </r>
    <r>
      <rPr>
        <sz val="14"/>
        <rFont val="宋体"/>
        <family val="3"/>
        <charset val="134"/>
      </rPr>
      <t>的规则列表中显示</t>
    </r>
    <r>
      <rPr>
        <sz val="14"/>
        <rFont val="GE Inspira"/>
        <family val="2"/>
      </rPr>
      <t>;3</t>
    </r>
    <r>
      <rPr>
        <sz val="14"/>
        <rFont val="宋体"/>
        <family val="3"/>
        <charset val="134"/>
      </rPr>
      <t>、配置收费金额字段</t>
    </r>
    <r>
      <rPr>
        <sz val="14"/>
        <rFont val="GE Inspira"/>
        <family val="2"/>
      </rPr>
      <t xml:space="preserve"> &gt; 0</t>
    </r>
    <r>
      <rPr>
        <sz val="14"/>
        <rFont val="宋体"/>
        <family val="3"/>
        <charset val="134"/>
      </rPr>
      <t>背景颜色为淡灰色，之后可以在</t>
    </r>
    <r>
      <rPr>
        <sz val="14"/>
        <rFont val="GE Inspira"/>
        <family val="2"/>
      </rPr>
      <t>RISCAT</t>
    </r>
    <r>
      <rPr>
        <sz val="14"/>
        <rFont val="宋体"/>
        <family val="3"/>
        <charset val="134"/>
      </rPr>
      <t>的规则列表中显示</t>
    </r>
    <phoneticPr fontId="0" type="noConversion"/>
  </si>
  <si>
    <r>
      <rPr>
        <sz val="14"/>
        <rFont val="宋体"/>
        <family val="3"/>
        <charset val="134"/>
      </rPr>
      <t>配置</t>
    </r>
    <r>
      <rPr>
        <sz val="14"/>
        <rFont val="GE Inspira"/>
        <family val="2"/>
      </rPr>
      <t>RISCAT</t>
    </r>
    <r>
      <rPr>
        <sz val="14"/>
        <rFont val="宋体"/>
        <family val="3"/>
        <charset val="134"/>
      </rPr>
      <t xml:space="preserve">如下的规则，客户端可以正确显示
</t>
    </r>
    <r>
      <rPr>
        <sz val="14"/>
        <rFont val="GE Inspira"/>
        <family val="2"/>
      </rPr>
      <t>1</t>
    </r>
    <r>
      <rPr>
        <sz val="14"/>
        <rFont val="宋体"/>
        <family val="3"/>
        <charset val="134"/>
      </rPr>
      <t>、</t>
    </r>
    <r>
      <rPr>
        <sz val="14"/>
        <rFont val="GE Inspira"/>
        <family val="2"/>
      </rPr>
      <t xml:space="preserve"> SUID</t>
    </r>
    <r>
      <rPr>
        <sz val="14"/>
        <rFont val="宋体"/>
        <family val="3"/>
        <charset val="134"/>
      </rPr>
      <t>字段</t>
    </r>
    <r>
      <rPr>
        <sz val="14"/>
        <rFont val="GE Inspira"/>
        <family val="2"/>
      </rPr>
      <t xml:space="preserve"> = (</t>
    </r>
    <r>
      <rPr>
        <sz val="14"/>
        <rFont val="宋体"/>
        <family val="3"/>
        <charset val="134"/>
      </rPr>
      <t>空</t>
    </r>
    <r>
      <rPr>
        <sz val="14"/>
        <rFont val="GE Inspira"/>
        <family val="2"/>
      </rPr>
      <t>)</t>
    </r>
    <r>
      <rPr>
        <sz val="14"/>
        <rFont val="宋体"/>
        <family val="3"/>
        <charset val="134"/>
      </rPr>
      <t>字体颜色为红色</t>
    </r>
    <r>
      <rPr>
        <sz val="14"/>
        <rFont val="GE Inspira"/>
        <family val="2"/>
      </rPr>
      <t>;2</t>
    </r>
    <r>
      <rPr>
        <sz val="14"/>
        <rFont val="宋体"/>
        <family val="3"/>
        <charset val="134"/>
      </rPr>
      <t>、备注字段</t>
    </r>
    <r>
      <rPr>
        <sz val="14"/>
        <rFont val="GE Inspira"/>
        <family val="2"/>
      </rPr>
      <t xml:space="preserve"> &lt;&gt; (</t>
    </r>
    <r>
      <rPr>
        <sz val="14"/>
        <rFont val="宋体"/>
        <family val="3"/>
        <charset val="134"/>
      </rPr>
      <t>空</t>
    </r>
    <r>
      <rPr>
        <sz val="14"/>
        <rFont val="GE Inspira"/>
        <family val="2"/>
      </rPr>
      <t xml:space="preserve">) </t>
    </r>
    <r>
      <rPr>
        <sz val="14"/>
        <rFont val="宋体"/>
        <family val="3"/>
        <charset val="134"/>
      </rPr>
      <t>字体颜色为蓝色</t>
    </r>
    <r>
      <rPr>
        <sz val="14"/>
        <rFont val="GE Inspira"/>
        <family val="2"/>
      </rPr>
      <t>;3</t>
    </r>
    <r>
      <rPr>
        <sz val="14"/>
        <rFont val="宋体"/>
        <family val="3"/>
        <charset val="134"/>
      </rPr>
      <t>、收费金额字段</t>
    </r>
    <r>
      <rPr>
        <sz val="14"/>
        <rFont val="GE Inspira"/>
        <family val="2"/>
      </rPr>
      <t xml:space="preserve"> &gt; 0</t>
    </r>
    <r>
      <rPr>
        <sz val="14"/>
        <rFont val="宋体"/>
        <family val="3"/>
        <charset val="134"/>
      </rPr>
      <t>背景颜色为淡灰色</t>
    </r>
    <r>
      <rPr>
        <sz val="14"/>
        <rFont val="GE Inspira"/>
        <family val="2"/>
      </rPr>
      <t>;4</t>
    </r>
    <r>
      <rPr>
        <sz val="14"/>
        <rFont val="宋体"/>
        <family val="3"/>
        <charset val="134"/>
      </rPr>
      <t>、患者来源</t>
    </r>
    <r>
      <rPr>
        <sz val="14"/>
        <rFont val="GE Inspira"/>
        <family val="2"/>
      </rPr>
      <t>=</t>
    </r>
    <r>
      <rPr>
        <sz val="14"/>
        <rFont val="宋体"/>
        <family val="3"/>
        <charset val="134"/>
      </rPr>
      <t>急诊背景为黄色</t>
    </r>
    <phoneticPr fontId="0" type="noConversion"/>
  </si>
  <si>
    <r>
      <t xml:space="preserve">AT?
</t>
    </r>
    <r>
      <rPr>
        <sz val="14"/>
        <rFont val="宋体"/>
        <family val="3"/>
        <charset val="134"/>
      </rPr>
      <t>如果没有输入患者姓名，和原来的逻辑一致，是将当前选中的检查填入登记面板</t>
    </r>
    <phoneticPr fontId="0" type="noConversion"/>
  </si>
  <si>
    <r>
      <t>1</t>
    </r>
    <r>
      <rPr>
        <sz val="14"/>
        <rFont val="宋体"/>
        <family val="3"/>
        <charset val="134"/>
      </rPr>
      <t>、在患者姓名输入</t>
    </r>
    <r>
      <rPr>
        <sz val="14"/>
        <rFont val="GE Inspira"/>
        <family val="2"/>
      </rPr>
      <t>Patient001
2</t>
    </r>
    <r>
      <rPr>
        <sz val="14"/>
        <rFont val="宋体"/>
        <family val="3"/>
        <charset val="134"/>
      </rPr>
      <t xml:space="preserve">、点击“预约”按钮
</t>
    </r>
    <r>
      <rPr>
        <sz val="14"/>
        <rFont val="GE Inspira"/>
        <family val="2"/>
      </rPr>
      <t>3</t>
    </r>
    <r>
      <rPr>
        <sz val="14"/>
        <rFont val="宋体"/>
        <family val="3"/>
        <charset val="134"/>
      </rPr>
      <t xml:space="preserve">、选择一个单元格双击
</t>
    </r>
    <r>
      <rPr>
        <sz val="14"/>
        <rFont val="GE Inspira"/>
        <family val="2"/>
      </rPr>
      <t>4</t>
    </r>
    <r>
      <rPr>
        <sz val="14"/>
        <rFont val="宋体"/>
        <family val="3"/>
        <charset val="134"/>
      </rPr>
      <t>、效果和单击此单元格之后点确定按钮一致</t>
    </r>
    <phoneticPr fontId="0" type="noConversion"/>
  </si>
  <si>
    <t>提供一个只读版的预约界面
SI团队在登记台增加一个扩展按钮，研发团队提供支持，调用具体的代码</t>
    <phoneticPr fontId="0" type="noConversion"/>
  </si>
  <si>
    <r>
      <rPr>
        <sz val="14"/>
        <rFont val="GE Inspira"/>
        <family val="2"/>
      </rPr>
      <t xml:space="preserve">AT
</t>
    </r>
    <r>
      <rPr>
        <sz val="14"/>
        <rFont val="宋体"/>
        <family val="3"/>
        <charset val="134"/>
      </rPr>
      <t>比如：提供一定的过滤条件，比如年龄正负</t>
    </r>
    <r>
      <rPr>
        <sz val="14"/>
        <rFont val="GE Inspira"/>
        <family val="2"/>
      </rPr>
      <t>10</t>
    </r>
    <r>
      <rPr>
        <sz val="14"/>
        <rFont val="宋体"/>
        <family val="3"/>
        <charset val="134"/>
      </rPr>
      <t>岁</t>
    </r>
    <phoneticPr fontId="0" type="noConversion"/>
  </si>
  <si>
    <r>
      <t>1</t>
    </r>
    <r>
      <rPr>
        <sz val="14"/>
        <rFont val="宋体"/>
        <family val="3"/>
        <charset val="134"/>
      </rPr>
      <t>、</t>
    </r>
    <r>
      <rPr>
        <sz val="14"/>
        <rFont val="GE Inspira"/>
        <family val="2"/>
      </rPr>
      <t>CT1</t>
    </r>
    <r>
      <rPr>
        <sz val="14"/>
        <rFont val="宋体"/>
        <family val="3"/>
        <charset val="134"/>
      </rPr>
      <t>和</t>
    </r>
    <r>
      <rPr>
        <sz val="14"/>
        <rFont val="GE Inspira"/>
        <family val="2"/>
      </rPr>
      <t>CT2</t>
    </r>
    <r>
      <rPr>
        <sz val="14"/>
        <rFont val="宋体"/>
        <family val="3"/>
        <charset val="134"/>
      </rPr>
      <t>有</t>
    </r>
    <r>
      <rPr>
        <sz val="14"/>
        <rFont val="GE Inspira"/>
        <family val="2"/>
      </rPr>
      <t>CT</t>
    </r>
    <r>
      <rPr>
        <sz val="14"/>
        <rFont val="宋体"/>
        <family val="3"/>
        <charset val="134"/>
      </rPr>
      <t>耳，</t>
    </r>
    <r>
      <rPr>
        <sz val="14"/>
        <rFont val="GE Inspira"/>
        <family val="2"/>
      </rPr>
      <t>CT1</t>
    </r>
    <r>
      <rPr>
        <sz val="14"/>
        <rFont val="宋体"/>
        <family val="3"/>
        <charset val="134"/>
      </rPr>
      <t>有</t>
    </r>
    <r>
      <rPr>
        <sz val="14"/>
        <rFont val="GE Inspira"/>
        <family val="2"/>
      </rPr>
      <t>CT</t>
    </r>
    <r>
      <rPr>
        <sz val="14"/>
        <rFont val="宋体"/>
        <family val="3"/>
        <charset val="134"/>
      </rPr>
      <t>腹，</t>
    </r>
    <r>
      <rPr>
        <sz val="14"/>
        <rFont val="GE Inspira"/>
        <family val="2"/>
      </rPr>
      <t>CT2</t>
    </r>
    <r>
      <rPr>
        <sz val="14"/>
        <rFont val="宋体"/>
        <family val="3"/>
        <charset val="134"/>
      </rPr>
      <t xml:space="preserve">没有
</t>
    </r>
    <r>
      <rPr>
        <sz val="14"/>
        <rFont val="GE Inspira"/>
        <family val="2"/>
      </rPr>
      <t>2</t>
    </r>
    <r>
      <rPr>
        <sz val="14"/>
        <rFont val="宋体"/>
        <family val="3"/>
        <charset val="134"/>
      </rPr>
      <t>、预约</t>
    </r>
    <r>
      <rPr>
        <sz val="14"/>
        <rFont val="GE Inspira"/>
        <family val="2"/>
      </rPr>
      <t>4</t>
    </r>
    <r>
      <rPr>
        <sz val="14"/>
        <rFont val="宋体"/>
        <family val="3"/>
        <charset val="134"/>
      </rPr>
      <t>个检查</t>
    </r>
    <r>
      <rPr>
        <sz val="14"/>
        <rFont val="GE Inspira"/>
        <family val="2"/>
      </rPr>
      <t>CT1</t>
    </r>
    <r>
      <rPr>
        <sz val="14"/>
        <rFont val="宋体"/>
        <family val="3"/>
        <charset val="134"/>
      </rPr>
      <t>耳，</t>
    </r>
    <r>
      <rPr>
        <sz val="14"/>
        <rFont val="GE Inspira"/>
        <family val="2"/>
      </rPr>
      <t>CT2</t>
    </r>
    <r>
      <rPr>
        <sz val="14"/>
        <rFont val="宋体"/>
        <family val="3"/>
        <charset val="134"/>
      </rPr>
      <t>耳，</t>
    </r>
    <r>
      <rPr>
        <sz val="14"/>
        <rFont val="GE Inspira"/>
        <family val="2"/>
      </rPr>
      <t>CT1</t>
    </r>
    <r>
      <rPr>
        <sz val="14"/>
        <rFont val="宋体"/>
        <family val="3"/>
        <charset val="134"/>
      </rPr>
      <t>腹，</t>
    </r>
    <r>
      <rPr>
        <sz val="14"/>
        <rFont val="GE Inspira"/>
        <family val="2"/>
      </rPr>
      <t>MR</t>
    </r>
    <r>
      <rPr>
        <sz val="14"/>
        <rFont val="宋体"/>
        <family val="3"/>
        <charset val="134"/>
      </rPr>
      <t xml:space="preserve">耳
</t>
    </r>
    <r>
      <rPr>
        <sz val="14"/>
        <rFont val="GE Inspira"/>
        <family val="2"/>
      </rPr>
      <t>3</t>
    </r>
    <r>
      <rPr>
        <sz val="14"/>
        <rFont val="宋体"/>
        <family val="3"/>
        <charset val="134"/>
      </rPr>
      <t>、选择</t>
    </r>
    <r>
      <rPr>
        <sz val="14"/>
        <rFont val="GE Inspira"/>
        <family val="2"/>
      </rPr>
      <t>4</t>
    </r>
    <r>
      <rPr>
        <sz val="14"/>
        <rFont val="宋体"/>
        <family val="3"/>
        <charset val="134"/>
      </rPr>
      <t xml:space="preserve">个检查、更换设备灰掉
</t>
    </r>
    <r>
      <rPr>
        <sz val="14"/>
        <rFont val="GE Inspira"/>
        <family val="2"/>
      </rPr>
      <t>3</t>
    </r>
    <r>
      <rPr>
        <sz val="14"/>
        <rFont val="宋体"/>
        <family val="3"/>
        <charset val="134"/>
      </rPr>
      <t>、选择前</t>
    </r>
    <r>
      <rPr>
        <sz val="14"/>
        <rFont val="GE Inspira"/>
        <family val="2"/>
      </rPr>
      <t>3</t>
    </r>
    <r>
      <rPr>
        <sz val="14"/>
        <rFont val="宋体"/>
        <family val="3"/>
        <charset val="134"/>
      </rPr>
      <t>个检查，点更换设备，显示</t>
    </r>
    <r>
      <rPr>
        <sz val="14"/>
        <rFont val="GE Inspira"/>
        <family val="2"/>
      </rPr>
      <t>CT1</t>
    </r>
    <r>
      <rPr>
        <sz val="14"/>
        <rFont val="宋体"/>
        <family val="3"/>
        <charset val="134"/>
      </rPr>
      <t>和</t>
    </r>
    <r>
      <rPr>
        <sz val="14"/>
        <rFont val="GE Inspira"/>
        <family val="2"/>
      </rPr>
      <t>CT2</t>
    </r>
    <r>
      <rPr>
        <sz val="14"/>
        <rFont val="宋体"/>
        <family val="3"/>
        <charset val="134"/>
      </rPr>
      <t>，选择</t>
    </r>
    <r>
      <rPr>
        <sz val="14"/>
        <rFont val="GE Inspira"/>
        <family val="2"/>
      </rPr>
      <t>CT2</t>
    </r>
    <r>
      <rPr>
        <sz val="14"/>
        <rFont val="宋体"/>
        <family val="3"/>
        <charset val="134"/>
      </rPr>
      <t xml:space="preserve">。
</t>
    </r>
    <r>
      <rPr>
        <sz val="14"/>
        <rFont val="GE Inspira"/>
        <family val="2"/>
      </rPr>
      <t>4</t>
    </r>
    <r>
      <rPr>
        <sz val="14"/>
        <rFont val="宋体"/>
        <family val="3"/>
        <charset val="134"/>
      </rPr>
      <t>、提示</t>
    </r>
    <r>
      <rPr>
        <sz val="14"/>
        <rFont val="GE Inspira"/>
        <family val="2"/>
      </rPr>
      <t>2</t>
    </r>
    <r>
      <rPr>
        <sz val="14"/>
        <rFont val="宋体"/>
        <family val="3"/>
        <charset val="134"/>
      </rPr>
      <t>个成功、</t>
    </r>
    <r>
      <rPr>
        <sz val="14"/>
        <rFont val="GE Inspira"/>
        <family val="2"/>
      </rPr>
      <t>1</t>
    </r>
    <r>
      <rPr>
        <sz val="14"/>
        <rFont val="宋体"/>
        <family val="3"/>
        <charset val="134"/>
      </rPr>
      <t>个失败。</t>
    </r>
    <r>
      <rPr>
        <sz val="14"/>
        <rFont val="GE Inspira"/>
        <family val="2"/>
      </rPr>
      <t>CT1</t>
    </r>
    <r>
      <rPr>
        <sz val="14"/>
        <rFont val="宋体"/>
        <family val="3"/>
        <charset val="134"/>
      </rPr>
      <t>耳</t>
    </r>
    <r>
      <rPr>
        <sz val="14"/>
        <rFont val="GE Inspira"/>
        <family val="2"/>
      </rPr>
      <t>-&gt;CT2</t>
    </r>
    <r>
      <rPr>
        <sz val="14"/>
        <rFont val="宋体"/>
        <family val="3"/>
        <charset val="134"/>
      </rPr>
      <t>耳</t>
    </r>
    <phoneticPr fontId="0" type="noConversion"/>
  </si>
  <si>
    <r>
      <t xml:space="preserve">AT
</t>
    </r>
    <r>
      <rPr>
        <sz val="14"/>
        <rFont val="宋体"/>
        <family val="3"/>
        <charset val="134"/>
      </rPr>
      <t>不考虑同医嘱的情况
只有选择同医院同设备类型的检查才可以更换</t>
    </r>
    <phoneticPr fontId="0" type="noConversion"/>
  </si>
  <si>
    <r>
      <t>1</t>
    </r>
    <r>
      <rPr>
        <sz val="14"/>
        <rFont val="宋体"/>
        <family val="3"/>
        <charset val="134"/>
      </rPr>
      <t>、用一个新的</t>
    </r>
    <r>
      <rPr>
        <sz val="14"/>
        <rFont val="GE Inspira"/>
        <family val="2"/>
      </rPr>
      <t>AE Title</t>
    </r>
    <r>
      <rPr>
        <sz val="14"/>
        <rFont val="宋体"/>
        <family val="3"/>
        <charset val="134"/>
      </rPr>
      <t>的</t>
    </r>
    <r>
      <rPr>
        <sz val="14"/>
        <rFont val="GE Inspira"/>
        <family val="2"/>
      </rPr>
      <t>Print SCU</t>
    </r>
    <r>
      <rPr>
        <sz val="14"/>
        <rFont val="宋体"/>
        <family val="3"/>
        <charset val="134"/>
      </rPr>
      <t>打印</t>
    </r>
    <r>
      <rPr>
        <sz val="14"/>
        <rFont val="GE Inspira"/>
        <family val="2"/>
      </rPr>
      <t>1</t>
    </r>
    <r>
      <rPr>
        <sz val="14"/>
        <rFont val="宋体"/>
        <family val="3"/>
        <charset val="134"/>
      </rPr>
      <t>个</t>
    </r>
    <r>
      <rPr>
        <sz val="14"/>
        <rFont val="GE Inspira"/>
        <family val="2"/>
      </rPr>
      <t>1</t>
    </r>
    <r>
      <rPr>
        <sz val="14"/>
        <rFont val="宋体"/>
        <family val="3"/>
        <charset val="134"/>
      </rPr>
      <t>张胶片</t>
    </r>
    <r>
      <rPr>
        <sz val="14"/>
        <rFont val="GE Inspira"/>
        <family val="2"/>
      </rPr>
      <t>2X2</t>
    </r>
    <r>
      <rPr>
        <sz val="14"/>
        <rFont val="宋体"/>
        <family val="3"/>
        <charset val="134"/>
      </rPr>
      <t xml:space="preserve">的打印任务
</t>
    </r>
    <r>
      <rPr>
        <sz val="14"/>
        <rFont val="GE Inspira"/>
        <family val="2"/>
      </rPr>
      <t>2</t>
    </r>
    <r>
      <rPr>
        <sz val="14"/>
        <rFont val="宋体"/>
        <family val="3"/>
        <charset val="134"/>
      </rPr>
      <t xml:space="preserve">、设备表中产生新的设备
</t>
    </r>
    <r>
      <rPr>
        <sz val="14"/>
        <rFont val="GE Inspira"/>
        <family val="2"/>
      </rPr>
      <t>3</t>
    </r>
    <r>
      <rPr>
        <sz val="14"/>
        <rFont val="宋体"/>
        <family val="3"/>
        <charset val="134"/>
      </rPr>
      <t>、数据库中的打印任务的设备关联到这个设备</t>
    </r>
    <phoneticPr fontId="0" type="noConversion"/>
  </si>
  <si>
    <r>
      <t>1</t>
    </r>
    <r>
      <rPr>
        <sz val="14"/>
        <rFont val="宋体"/>
        <family val="3"/>
        <charset val="134"/>
      </rPr>
      <t>、用已经存在的</t>
    </r>
    <r>
      <rPr>
        <sz val="14"/>
        <rFont val="GE Inspira"/>
        <family val="2"/>
      </rPr>
      <t>AE Title</t>
    </r>
    <r>
      <rPr>
        <sz val="14"/>
        <rFont val="宋体"/>
        <family val="3"/>
        <charset val="134"/>
      </rPr>
      <t>，但是</t>
    </r>
    <r>
      <rPr>
        <sz val="14"/>
        <rFont val="GE Inspira"/>
        <family val="2"/>
      </rPr>
      <t>IP</t>
    </r>
    <r>
      <rPr>
        <sz val="14"/>
        <rFont val="宋体"/>
        <family val="3"/>
        <charset val="134"/>
      </rPr>
      <t>地址不相同的</t>
    </r>
    <r>
      <rPr>
        <sz val="14"/>
        <rFont val="GE Inspira"/>
        <family val="2"/>
      </rPr>
      <t>Print SCU</t>
    </r>
    <r>
      <rPr>
        <sz val="14"/>
        <rFont val="宋体"/>
        <family val="3"/>
        <charset val="134"/>
      </rPr>
      <t xml:space="preserve">发起打印请求
</t>
    </r>
    <r>
      <rPr>
        <sz val="14"/>
        <rFont val="GE Inspira"/>
        <family val="2"/>
      </rPr>
      <t>2</t>
    </r>
    <r>
      <rPr>
        <sz val="14"/>
        <rFont val="宋体"/>
        <family val="3"/>
        <charset val="134"/>
      </rPr>
      <t>、</t>
    </r>
    <r>
      <rPr>
        <sz val="14"/>
        <rFont val="GE Inspira"/>
        <family val="2"/>
      </rPr>
      <t>Print SCP</t>
    </r>
    <r>
      <rPr>
        <sz val="14"/>
        <rFont val="宋体"/>
        <family val="3"/>
        <charset val="134"/>
      </rPr>
      <t>拒绝打印</t>
    </r>
    <phoneticPr fontId="0" type="noConversion"/>
  </si>
  <si>
    <r>
      <rPr>
        <sz val="14"/>
        <rFont val="宋体"/>
        <family val="3"/>
        <charset val="134"/>
      </rPr>
      <t>如果接收到的打印任务的</t>
    </r>
    <r>
      <rPr>
        <sz val="14"/>
        <rFont val="GE Inspira"/>
        <family val="2"/>
      </rPr>
      <t>Ae Title</t>
    </r>
    <r>
      <rPr>
        <sz val="14"/>
        <rFont val="宋体"/>
        <family val="3"/>
        <charset val="134"/>
      </rPr>
      <t>和</t>
    </r>
    <r>
      <rPr>
        <sz val="14"/>
        <rFont val="GE Inspira"/>
        <family val="2"/>
      </rPr>
      <t>IP</t>
    </r>
    <r>
      <rPr>
        <sz val="14"/>
        <rFont val="宋体"/>
        <family val="3"/>
        <charset val="134"/>
      </rPr>
      <t>地址都存在，则将打印任务直接关联到这个已经存在的设备</t>
    </r>
    <phoneticPr fontId="0" type="noConversion"/>
  </si>
  <si>
    <t>AT</t>
    <phoneticPr fontId="0" type="noConversion"/>
  </si>
  <si>
    <r>
      <t>1</t>
    </r>
    <r>
      <rPr>
        <sz val="14"/>
        <rFont val="宋体"/>
        <family val="3"/>
        <charset val="134"/>
      </rPr>
      <t>、用相同的</t>
    </r>
    <r>
      <rPr>
        <sz val="14"/>
        <rFont val="GE Inspira"/>
        <family val="2"/>
      </rPr>
      <t>AE Title</t>
    </r>
    <r>
      <rPr>
        <sz val="14"/>
        <rFont val="宋体"/>
        <family val="3"/>
        <charset val="134"/>
      </rPr>
      <t>和</t>
    </r>
    <r>
      <rPr>
        <sz val="14"/>
        <rFont val="GE Inspira"/>
        <family val="2"/>
      </rPr>
      <t>IP</t>
    </r>
    <r>
      <rPr>
        <sz val="14"/>
        <rFont val="宋体"/>
        <family val="3"/>
        <charset val="134"/>
      </rPr>
      <t>地址的</t>
    </r>
    <r>
      <rPr>
        <sz val="14"/>
        <rFont val="GE Inspira"/>
        <family val="2"/>
      </rPr>
      <t>Print SCU</t>
    </r>
    <r>
      <rPr>
        <sz val="14"/>
        <rFont val="宋体"/>
        <family val="3"/>
        <charset val="134"/>
      </rPr>
      <t>打印</t>
    </r>
    <r>
      <rPr>
        <sz val="14"/>
        <rFont val="GE Inspira"/>
        <family val="2"/>
      </rPr>
      <t>1</t>
    </r>
    <r>
      <rPr>
        <sz val="14"/>
        <rFont val="宋体"/>
        <family val="3"/>
        <charset val="134"/>
      </rPr>
      <t>个</t>
    </r>
    <r>
      <rPr>
        <sz val="14"/>
        <rFont val="GE Inspira"/>
        <family val="2"/>
      </rPr>
      <t>1</t>
    </r>
    <r>
      <rPr>
        <sz val="14"/>
        <rFont val="宋体"/>
        <family val="3"/>
        <charset val="134"/>
      </rPr>
      <t>张胶片</t>
    </r>
    <r>
      <rPr>
        <sz val="14"/>
        <rFont val="GE Inspira"/>
        <family val="2"/>
      </rPr>
      <t>2X2</t>
    </r>
    <r>
      <rPr>
        <sz val="14"/>
        <rFont val="宋体"/>
        <family val="3"/>
        <charset val="134"/>
      </rPr>
      <t xml:space="preserve">的打印任务
</t>
    </r>
    <r>
      <rPr>
        <sz val="14"/>
        <rFont val="GE Inspira"/>
        <family val="2"/>
      </rPr>
      <t>2</t>
    </r>
    <r>
      <rPr>
        <sz val="14"/>
        <rFont val="宋体"/>
        <family val="3"/>
        <charset val="134"/>
      </rPr>
      <t>、数据库中的打印任务的设备关联到这个设备</t>
    </r>
    <phoneticPr fontId="0" type="noConversion"/>
  </si>
  <si>
    <r>
      <t xml:space="preserve">AT
</t>
    </r>
    <r>
      <rPr>
        <sz val="14"/>
        <rFont val="宋体"/>
        <family val="3"/>
        <charset val="134"/>
      </rPr>
      <t>文件夹命名和路径和原来的相同</t>
    </r>
    <phoneticPr fontId="0" type="noConversion"/>
  </si>
  <si>
    <t>Sonar Issue Fix</t>
    <phoneticPr fontId="0" type="noConversion"/>
  </si>
  <si>
    <t>QA工作站的双击扩展接口</t>
    <phoneticPr fontId="0" type="noConversion"/>
  </si>
  <si>
    <t>1、用户双击某个检查</t>
    <phoneticPr fontId="0" type="noConversion"/>
  </si>
  <si>
    <t>Total:</t>
    <phoneticPr fontId="0" type="noConversion"/>
  </si>
  <si>
    <t>Finished:</t>
    <phoneticPr fontId="0" type="noConversion"/>
  </si>
  <si>
    <t>Importance Assigned:</t>
    <phoneticPr fontId="0" type="noConversion"/>
  </si>
  <si>
    <r>
      <t>1</t>
    </r>
    <r>
      <rPr>
        <sz val="14"/>
        <rFont val="宋体"/>
        <family val="3"/>
        <charset val="134"/>
      </rPr>
      <t>、打印一个</t>
    </r>
    <r>
      <rPr>
        <sz val="14"/>
        <rFont val="GE Inspira"/>
        <family val="2"/>
      </rPr>
      <t>1</t>
    </r>
    <r>
      <rPr>
        <sz val="14"/>
        <rFont val="宋体"/>
        <family val="3"/>
        <charset val="134"/>
      </rPr>
      <t>张胶片</t>
    </r>
    <r>
      <rPr>
        <sz val="14"/>
        <rFont val="GE Inspira"/>
        <family val="2"/>
      </rPr>
      <t>1X1</t>
    </r>
    <r>
      <rPr>
        <sz val="14"/>
        <rFont val="宋体"/>
        <family val="3"/>
        <charset val="134"/>
      </rPr>
      <t xml:space="preserve">的打印任务
</t>
    </r>
    <r>
      <rPr>
        <sz val="14"/>
        <rFont val="GE Inspira"/>
        <family val="2"/>
      </rPr>
      <t>2</t>
    </r>
    <r>
      <rPr>
        <sz val="14"/>
        <rFont val="宋体"/>
        <family val="3"/>
        <charset val="134"/>
      </rPr>
      <t>、接收到打印任务之后可以在指定的位置产生</t>
    </r>
    <r>
      <rPr>
        <sz val="14"/>
        <rFont val="GE Inspira"/>
        <family val="2"/>
      </rPr>
      <t>Big.jpg</t>
    </r>
    <r>
      <rPr>
        <sz val="14"/>
        <rFont val="宋体"/>
        <family val="3"/>
        <charset val="134"/>
      </rPr>
      <t>和</t>
    </r>
    <r>
      <rPr>
        <sz val="14"/>
        <rFont val="GE Inspira"/>
        <family val="2"/>
      </rPr>
      <t>Small.jpg</t>
    </r>
    <r>
      <rPr>
        <sz val="14"/>
        <rFont val="宋体"/>
        <family val="3"/>
        <charset val="134"/>
      </rPr>
      <t xml:space="preserve">。
</t>
    </r>
    <r>
      <rPr>
        <sz val="14"/>
        <rFont val="GE Inspira"/>
        <family val="2"/>
      </rPr>
      <t>3</t>
    </r>
    <r>
      <rPr>
        <sz val="14"/>
        <rFont val="宋体"/>
        <family val="3"/>
        <charset val="134"/>
      </rPr>
      <t>、</t>
    </r>
    <r>
      <rPr>
        <sz val="14"/>
        <rFont val="GE Inspira"/>
        <family val="2"/>
      </rPr>
      <t>Big.jpg</t>
    </r>
    <r>
      <rPr>
        <sz val="14"/>
        <rFont val="宋体"/>
        <family val="3"/>
        <charset val="134"/>
      </rPr>
      <t>和原始</t>
    </r>
    <r>
      <rPr>
        <sz val="14"/>
        <rFont val="GE Inspira"/>
        <family val="2"/>
      </rPr>
      <t>DICOM</t>
    </r>
    <r>
      <rPr>
        <sz val="14"/>
        <rFont val="宋体"/>
        <family val="3"/>
        <charset val="134"/>
      </rPr>
      <t xml:space="preserve">的高度和宽度相同
</t>
    </r>
    <r>
      <rPr>
        <sz val="14"/>
        <rFont val="GE Inspira"/>
        <family val="2"/>
      </rPr>
      <t>4</t>
    </r>
    <r>
      <rPr>
        <sz val="14"/>
        <rFont val="宋体"/>
        <family val="3"/>
        <charset val="134"/>
      </rPr>
      <t>、</t>
    </r>
    <r>
      <rPr>
        <sz val="14"/>
        <rFont val="GE Inspira"/>
        <family val="2"/>
      </rPr>
      <t>Small.jpg</t>
    </r>
    <r>
      <rPr>
        <sz val="14"/>
        <rFont val="宋体"/>
        <family val="3"/>
        <charset val="134"/>
      </rPr>
      <t>的比例和原始</t>
    </r>
    <r>
      <rPr>
        <sz val="14"/>
        <rFont val="GE Inspira"/>
        <family val="2"/>
      </rPr>
      <t>DICOM</t>
    </r>
    <r>
      <rPr>
        <sz val="14"/>
        <rFont val="宋体"/>
        <family val="3"/>
        <charset val="134"/>
      </rPr>
      <t>的比例相同，最长的边的像素值是</t>
    </r>
    <r>
      <rPr>
        <sz val="14"/>
        <rFont val="GE Inspira"/>
        <family val="2"/>
      </rPr>
      <t>100</t>
    </r>
    <phoneticPr fontId="0" type="noConversion"/>
  </si>
  <si>
    <r>
      <t>1</t>
    </r>
    <r>
      <rPr>
        <sz val="14"/>
        <rFont val="宋体"/>
        <family val="3"/>
        <charset val="134"/>
      </rPr>
      <t>、打印一个</t>
    </r>
    <r>
      <rPr>
        <sz val="14"/>
        <rFont val="GE Inspira"/>
        <family val="2"/>
      </rPr>
      <t>1</t>
    </r>
    <r>
      <rPr>
        <sz val="14"/>
        <rFont val="宋体"/>
        <family val="3"/>
        <charset val="134"/>
      </rPr>
      <t>张胶片</t>
    </r>
    <r>
      <rPr>
        <sz val="14"/>
        <rFont val="GE Inspira"/>
        <family val="2"/>
      </rPr>
      <t>4X6</t>
    </r>
    <r>
      <rPr>
        <sz val="14"/>
        <rFont val="宋体"/>
        <family val="3"/>
        <charset val="134"/>
      </rPr>
      <t xml:space="preserve">的打印任务
</t>
    </r>
    <r>
      <rPr>
        <sz val="14"/>
        <rFont val="GE Inspira"/>
        <family val="2"/>
      </rPr>
      <t>2</t>
    </r>
    <r>
      <rPr>
        <sz val="14"/>
        <rFont val="宋体"/>
        <family val="3"/>
        <charset val="134"/>
      </rPr>
      <t>、接收到打印任务之后可以在指定的位置产生</t>
    </r>
    <r>
      <rPr>
        <sz val="14"/>
        <rFont val="GE Inspira"/>
        <family val="2"/>
      </rPr>
      <t>Big.jpg</t>
    </r>
    <r>
      <rPr>
        <sz val="14"/>
        <rFont val="宋体"/>
        <family val="3"/>
        <charset val="134"/>
      </rPr>
      <t>和</t>
    </r>
    <r>
      <rPr>
        <sz val="14"/>
        <rFont val="GE Inspira"/>
        <family val="2"/>
      </rPr>
      <t>Small.jpg</t>
    </r>
    <r>
      <rPr>
        <sz val="14"/>
        <rFont val="宋体"/>
        <family val="3"/>
        <charset val="134"/>
      </rPr>
      <t xml:space="preserve">。
</t>
    </r>
    <r>
      <rPr>
        <sz val="14"/>
        <rFont val="GE Inspira"/>
        <family val="2"/>
      </rPr>
      <t>3</t>
    </r>
    <r>
      <rPr>
        <sz val="14"/>
        <rFont val="宋体"/>
        <family val="3"/>
        <charset val="134"/>
      </rPr>
      <t>、所有的图像按照</t>
    </r>
    <r>
      <rPr>
        <sz val="14"/>
        <rFont val="GE Inspira"/>
        <family val="2"/>
      </rPr>
      <t>4X6</t>
    </r>
    <r>
      <rPr>
        <sz val="14"/>
        <rFont val="宋体"/>
        <family val="3"/>
        <charset val="134"/>
      </rPr>
      <t xml:space="preserve">拼接起来，中间用白线隔开
</t>
    </r>
    <r>
      <rPr>
        <sz val="14"/>
        <rFont val="GE Inspira"/>
        <family val="2"/>
      </rPr>
      <t>4</t>
    </r>
    <r>
      <rPr>
        <sz val="14"/>
        <rFont val="宋体"/>
        <family val="3"/>
        <charset val="134"/>
      </rPr>
      <t>、</t>
    </r>
    <r>
      <rPr>
        <sz val="14"/>
        <rFont val="GE Inspira"/>
        <family val="2"/>
      </rPr>
      <t>Big.jpg</t>
    </r>
    <r>
      <rPr>
        <sz val="14"/>
        <rFont val="宋体"/>
        <family val="3"/>
        <charset val="134"/>
      </rPr>
      <t>和原始</t>
    </r>
    <r>
      <rPr>
        <sz val="14"/>
        <rFont val="GE Inspira"/>
        <family val="2"/>
      </rPr>
      <t>DICOM</t>
    </r>
    <r>
      <rPr>
        <sz val="14"/>
        <rFont val="宋体"/>
        <family val="3"/>
        <charset val="134"/>
      </rPr>
      <t xml:space="preserve">的高度和宽度相同
</t>
    </r>
    <r>
      <rPr>
        <sz val="14"/>
        <rFont val="GE Inspira"/>
        <family val="2"/>
      </rPr>
      <t>5</t>
    </r>
    <r>
      <rPr>
        <sz val="14"/>
        <rFont val="宋体"/>
        <family val="3"/>
        <charset val="134"/>
      </rPr>
      <t>、</t>
    </r>
    <r>
      <rPr>
        <sz val="14"/>
        <rFont val="GE Inspira"/>
        <family val="2"/>
      </rPr>
      <t>Small.jpg</t>
    </r>
    <r>
      <rPr>
        <sz val="14"/>
        <rFont val="宋体"/>
        <family val="3"/>
        <charset val="134"/>
      </rPr>
      <t>的比例和原始</t>
    </r>
    <r>
      <rPr>
        <sz val="14"/>
        <rFont val="GE Inspira"/>
        <family val="2"/>
      </rPr>
      <t>DICOM</t>
    </r>
    <r>
      <rPr>
        <sz val="14"/>
        <rFont val="宋体"/>
        <family val="3"/>
        <charset val="134"/>
      </rPr>
      <t>的比例相同，最长的边的像素值是</t>
    </r>
    <r>
      <rPr>
        <sz val="14"/>
        <rFont val="GE Inspira"/>
        <family val="2"/>
      </rPr>
      <t>100</t>
    </r>
    <phoneticPr fontId="0" type="noConversion"/>
  </si>
  <si>
    <r>
      <t>1</t>
    </r>
    <r>
      <rPr>
        <sz val="14"/>
        <rFont val="宋体"/>
        <family val="3"/>
        <charset val="134"/>
      </rPr>
      <t>、打印一个</t>
    </r>
    <r>
      <rPr>
        <sz val="14"/>
        <rFont val="GE Inspira"/>
        <family val="2"/>
      </rPr>
      <t>1</t>
    </r>
    <r>
      <rPr>
        <sz val="14"/>
        <rFont val="宋体"/>
        <family val="3"/>
        <charset val="134"/>
      </rPr>
      <t>张胶片</t>
    </r>
    <r>
      <rPr>
        <sz val="14"/>
        <rFont val="GE Inspira"/>
        <family val="2"/>
      </rPr>
      <t>4X6</t>
    </r>
    <r>
      <rPr>
        <sz val="14"/>
        <rFont val="宋体"/>
        <family val="3"/>
        <charset val="134"/>
      </rPr>
      <t xml:space="preserve">的打印任务
</t>
    </r>
    <r>
      <rPr>
        <sz val="14"/>
        <rFont val="GE Inspira"/>
        <family val="2"/>
      </rPr>
      <t>2</t>
    </r>
    <r>
      <rPr>
        <sz val="14"/>
        <rFont val="宋体"/>
        <family val="3"/>
        <charset val="134"/>
      </rPr>
      <t>、接收到打印任务之后可以将第一个</t>
    </r>
    <r>
      <rPr>
        <sz val="14"/>
        <rFont val="GE Inspira"/>
        <family val="2"/>
      </rPr>
      <t>ImageBox</t>
    </r>
    <r>
      <rPr>
        <sz val="14"/>
        <rFont val="宋体"/>
        <family val="3"/>
        <charset val="134"/>
      </rPr>
      <t>中的</t>
    </r>
    <r>
      <rPr>
        <sz val="14"/>
        <rFont val="GE Inspira"/>
        <family val="2"/>
      </rPr>
      <t>DICOM</t>
    </r>
    <r>
      <rPr>
        <sz val="14"/>
        <rFont val="宋体"/>
        <family val="3"/>
        <charset val="134"/>
      </rPr>
      <t>文件转化为</t>
    </r>
    <r>
      <rPr>
        <sz val="14"/>
        <rFont val="GE Inspira"/>
        <family val="2"/>
      </rPr>
      <t>BMP</t>
    </r>
    <r>
      <rPr>
        <sz val="14"/>
        <rFont val="宋体"/>
        <family val="3"/>
        <charset val="134"/>
      </rPr>
      <t xml:space="preserve">文件
</t>
    </r>
    <r>
      <rPr>
        <sz val="14"/>
        <rFont val="GE Inspira"/>
        <family val="2"/>
      </rPr>
      <t>3</t>
    </r>
    <r>
      <rPr>
        <sz val="14"/>
        <rFont val="宋体"/>
        <family val="3"/>
        <charset val="134"/>
      </rPr>
      <t>、图像和原始</t>
    </r>
    <r>
      <rPr>
        <sz val="14"/>
        <rFont val="GE Inspira"/>
        <family val="2"/>
      </rPr>
      <t>DICOM</t>
    </r>
    <r>
      <rPr>
        <sz val="14"/>
        <rFont val="宋体"/>
        <family val="3"/>
        <charset val="134"/>
      </rPr>
      <t xml:space="preserve">的高度和宽度相同
</t>
    </r>
    <r>
      <rPr>
        <sz val="14"/>
        <rFont val="GE Inspira"/>
        <family val="2"/>
      </rPr>
      <t/>
    </r>
    <phoneticPr fontId="0" type="noConversion"/>
  </si>
  <si>
    <r>
      <rPr>
        <strike/>
        <sz val="14"/>
        <color theme="1"/>
        <rFont val="宋体"/>
        <family val="3"/>
        <charset val="134"/>
      </rPr>
      <t>产生电子胶片的缩略图</t>
    </r>
    <phoneticPr fontId="0" type="noConversion"/>
  </si>
  <si>
    <t>作为系统管理员，我希望在RISCAT中的Richtable自定义颜色配置中支持
1. 非等于、大于、小于; 2. 值支持“空”
这些规则可以以后在工作站的颜色显示中生效</t>
    <phoneticPr fontId="0" type="noConversion"/>
  </si>
  <si>
    <t>Definition of Development “Done”</t>
  </si>
  <si>
    <t>Definition of V&amp;V “Done”</t>
  </si>
  <si>
    <r>
      <t>-</t>
    </r>
    <r>
      <rPr>
        <sz val="10"/>
        <color rgb="FF0C1B3E"/>
        <rFont val="GE Inspira Pitch"/>
        <family val="2"/>
      </rPr>
      <t>Design</t>
    </r>
  </si>
  <si>
    <r>
      <t>-</t>
    </r>
    <r>
      <rPr>
        <sz val="10"/>
        <color rgb="FF0C1B3E"/>
        <rFont val="GE Inspira Pitch"/>
        <family val="2"/>
      </rPr>
      <t>System test complete</t>
    </r>
  </si>
  <si>
    <r>
      <t>-</t>
    </r>
    <r>
      <rPr>
        <sz val="10"/>
        <color rgb="FF0C1B3E"/>
        <rFont val="GE Inspira Pitch"/>
        <family val="2"/>
      </rPr>
      <t>Development</t>
    </r>
  </si>
  <si>
    <r>
      <t>-</t>
    </r>
    <r>
      <rPr>
        <sz val="10"/>
        <color rgb="FF0C1B3E"/>
        <rFont val="GE Inspira Pitch"/>
        <family val="2"/>
      </rPr>
      <t>Regression test complete</t>
    </r>
  </si>
  <si>
    <r>
      <t>-</t>
    </r>
    <r>
      <rPr>
        <sz val="10"/>
        <color rgb="FF0C1B3E"/>
        <rFont val="GE Inspira Pitch"/>
        <family val="2"/>
      </rPr>
      <t>TDR</t>
    </r>
  </si>
  <si>
    <r>
      <t>-</t>
    </r>
    <r>
      <rPr>
        <sz val="10"/>
        <color rgb="FF0C1B3E"/>
        <rFont val="GE Inspira Pitch"/>
        <family val="2"/>
      </rPr>
      <t>Performance &amp; Reliability test complete</t>
    </r>
  </si>
  <si>
    <r>
      <t>-</t>
    </r>
    <r>
      <rPr>
        <sz val="10"/>
        <color rgb="FF0C1B3E"/>
        <rFont val="GE Inspira Pitch"/>
        <family val="2"/>
      </rPr>
      <t>Unit Test</t>
    </r>
  </si>
  <si>
    <r>
      <t>-</t>
    </r>
    <r>
      <rPr>
        <sz val="10"/>
        <color rgb="FF0C1B3E"/>
        <rFont val="GE Inspira Pitch"/>
        <family val="2"/>
      </rPr>
      <t>Verification &amp; Validation document approved</t>
    </r>
  </si>
  <si>
    <r>
      <t>-</t>
    </r>
    <r>
      <rPr>
        <sz val="10"/>
        <color rgb="FF0C1B3E"/>
        <rFont val="GE Inspira Pitch"/>
        <family val="2"/>
      </rPr>
      <t>Code Review</t>
    </r>
  </si>
  <si>
    <r>
      <t>-</t>
    </r>
    <r>
      <rPr>
        <sz val="10"/>
        <color rgb="FF0C1B3E"/>
        <rFont val="GE Inspira Pitch"/>
        <family val="2"/>
      </rPr>
      <t>Test cases complete</t>
    </r>
  </si>
  <si>
    <r>
      <t>-</t>
    </r>
    <r>
      <rPr>
        <sz val="10"/>
        <color rgb="FF0C1B3E"/>
        <rFont val="GE Inspira Pitch"/>
        <family val="2"/>
      </rPr>
      <t>Component test complete</t>
    </r>
  </si>
  <si>
    <r>
      <t>-</t>
    </r>
    <r>
      <rPr>
        <sz val="10"/>
        <color rgb="FF0C1B3E"/>
        <rFont val="GE Inspira Pitch"/>
        <family val="2"/>
      </rPr>
      <t>Automation test case implemented</t>
    </r>
  </si>
  <si>
    <t>Story Points</t>
  </si>
  <si>
    <t>Total SP</t>
  </si>
  <si>
    <t>Finished SP</t>
  </si>
  <si>
    <t>Sprint 1</t>
  </si>
  <si>
    <t>Sprint 2</t>
  </si>
  <si>
    <t>Sprint 3</t>
  </si>
  <si>
    <t>Sprint 4</t>
  </si>
  <si>
    <t>Sprint 5</t>
  </si>
  <si>
    <t>Sprint 6</t>
    <phoneticPr fontId="2" type="noConversion"/>
  </si>
  <si>
    <t>Theme</t>
  </si>
  <si>
    <t>User Story</t>
  </si>
  <si>
    <t>DoD</t>
  </si>
  <si>
    <t>Pts</t>
  </si>
  <si>
    <t>Fix 40 critical Sonar issues</t>
  </si>
  <si>
    <t>Fix 800 major Sonar issues</t>
  </si>
  <si>
    <t>Feature Enhancement</t>
  </si>
  <si>
    <t>Totals</t>
  </si>
  <si>
    <t>Tech Debt</t>
    <phoneticPr fontId="2" type="noConversion"/>
  </si>
  <si>
    <t>Print Controller Refactor</t>
    <phoneticPr fontId="2" type="noConversion"/>
  </si>
  <si>
    <r>
      <rPr>
        <sz val="14"/>
        <rFont val="宋体"/>
        <family val="3"/>
        <charset val="134"/>
      </rPr>
      <t>作为</t>
    </r>
    <r>
      <rPr>
        <sz val="14"/>
        <rFont val="GE Inspira"/>
        <family val="2"/>
      </rPr>
      <t>PC</t>
    </r>
    <r>
      <rPr>
        <sz val="14"/>
        <rFont val="宋体"/>
        <family val="3"/>
        <charset val="134"/>
      </rPr>
      <t>服务器，我可以接收</t>
    </r>
    <r>
      <rPr>
        <sz val="14"/>
        <rFont val="GE Inspira"/>
        <family val="2"/>
      </rPr>
      <t>DICOM</t>
    </r>
    <r>
      <rPr>
        <sz val="14"/>
        <rFont val="宋体"/>
        <family val="3"/>
        <charset val="134"/>
      </rPr>
      <t>打印任务</t>
    </r>
    <phoneticPr fontId="0" type="noConversion"/>
  </si>
  <si>
    <r>
      <rPr>
        <sz val="11"/>
        <color theme="3"/>
        <rFont val="宋体"/>
        <family val="3"/>
        <charset val="134"/>
      </rPr>
      <t>作为</t>
    </r>
    <r>
      <rPr>
        <sz val="11"/>
        <color theme="3"/>
        <rFont val="GE Inspira"/>
        <family val="2"/>
      </rPr>
      <t>PC</t>
    </r>
    <r>
      <rPr>
        <sz val="11"/>
        <color theme="3"/>
        <rFont val="宋体"/>
        <family val="3"/>
        <charset val="134"/>
      </rPr>
      <t>服务器，我可以接收</t>
    </r>
    <r>
      <rPr>
        <sz val="11"/>
        <color theme="3"/>
        <rFont val="GE Inspira"/>
        <family val="2"/>
      </rPr>
      <t>DICOM</t>
    </r>
    <r>
      <rPr>
        <sz val="11"/>
        <color theme="3"/>
        <rFont val="宋体"/>
        <family val="3"/>
        <charset val="134"/>
      </rPr>
      <t>打印任务</t>
    </r>
    <phoneticPr fontId="0" type="noConversion"/>
  </si>
  <si>
    <r>
      <rPr>
        <sz val="11"/>
        <color theme="3"/>
        <rFont val="宋体"/>
        <family val="3"/>
        <charset val="134"/>
      </rPr>
      <t>作为场地工程师，我希望能够配置登记台的某一个字段的字体颜色和是否加粗</t>
    </r>
    <phoneticPr fontId="0" type="noConversion"/>
  </si>
  <si>
    <r>
      <rPr>
        <sz val="11"/>
        <color theme="3"/>
        <rFont val="宋体"/>
        <family val="3"/>
        <charset val="134"/>
      </rPr>
      <t>作为场地工程师，我希望能够配置</t>
    </r>
    <r>
      <rPr>
        <sz val="11"/>
        <color theme="3"/>
        <rFont val="GE Inspira"/>
        <family val="2"/>
      </rPr>
      <t>Patient Banner</t>
    </r>
    <r>
      <rPr>
        <sz val="11"/>
        <color theme="3"/>
        <rFont val="宋体"/>
        <family val="3"/>
        <charset val="134"/>
      </rPr>
      <t>的某一个字段的字体颜色、字体大小和是否加粗</t>
    </r>
    <phoneticPr fontId="0" type="noConversion"/>
  </si>
  <si>
    <t>作为集成工程师，我希望能够扩展查询的界面，可以增加自定义的查询条件，从而满足场地的自定义需求</t>
  </si>
  <si>
    <r>
      <rPr>
        <sz val="14"/>
        <rFont val="宋体"/>
        <family val="3"/>
        <charset val="134"/>
      </rPr>
      <t>作为</t>
    </r>
    <r>
      <rPr>
        <sz val="14"/>
        <rFont val="GE Inspira"/>
        <family val="2"/>
      </rPr>
      <t>PC</t>
    </r>
    <r>
      <rPr>
        <sz val="14"/>
        <rFont val="宋体"/>
        <family val="3"/>
        <charset val="134"/>
      </rPr>
      <t>服务器，我可以将内存中的打印任务对象发送到</t>
    </r>
    <r>
      <rPr>
        <sz val="14"/>
        <rFont val="GE Inspira"/>
        <family val="2"/>
      </rPr>
      <t>DICOM</t>
    </r>
    <r>
      <rPr>
        <sz val="14"/>
        <rFont val="宋体"/>
        <family val="3"/>
        <charset val="134"/>
      </rPr>
      <t>打印机</t>
    </r>
    <phoneticPr fontId="0" type="noConversion"/>
  </si>
  <si>
    <t>作为PC服务器，我可以将内存中的打印任务对象发送到DICOM打印机</t>
    <phoneticPr fontId="0" type="noConversion"/>
  </si>
  <si>
    <t>可以记录接口的调用</t>
    <phoneticPr fontId="2" type="noConversion"/>
  </si>
  <si>
    <t>可以记录所有的接口调用</t>
    <phoneticPr fontId="0" type="noConversion"/>
  </si>
  <si>
    <t>Fixed Sprint</t>
    <phoneticPr fontId="0" type="noConversion"/>
  </si>
  <si>
    <t>作为系统管理员，我希望在RISCAT中的Richtable自定义颜色配置中支持
1. 非等于、大于、小于; 2. 值支持“空”
这些规则可以以后在工作站的颜色显示中生效</t>
    <phoneticPr fontId="2" type="noConversion"/>
  </si>
  <si>
    <r>
      <rPr>
        <sz val="14"/>
        <rFont val="宋体"/>
        <family val="3"/>
        <charset val="134"/>
      </rPr>
      <t>作为用户，我希望在</t>
    </r>
    <r>
      <rPr>
        <sz val="14"/>
        <rFont val="GE Inspira"/>
        <family val="2"/>
      </rPr>
      <t>RISCAT</t>
    </r>
    <r>
      <rPr>
        <sz val="14"/>
        <rFont val="宋体"/>
        <family val="3"/>
        <charset val="134"/>
      </rPr>
      <t>中配置的自定义颜色可以在工作站中生效。</t>
    </r>
    <r>
      <rPr>
        <sz val="14"/>
        <rFont val="GE Inspira"/>
        <family val="2"/>
      </rPr>
      <t/>
    </r>
    <phoneticPr fontId="0" type="noConversion"/>
  </si>
  <si>
    <r>
      <t>如果接收到的打印任务是来自新的</t>
    </r>
    <r>
      <rPr>
        <sz val="11"/>
        <color theme="3"/>
        <rFont val="GE Inspira"/>
        <family val="2"/>
      </rPr>
      <t>AE Title</t>
    </r>
    <r>
      <rPr>
        <sz val="11"/>
        <color theme="3"/>
        <rFont val="宋体"/>
        <family val="3"/>
        <charset val="134"/>
      </rPr>
      <t>，则自动为其创建一个设备，并且将打印任务关联到这个设备上</t>
    </r>
    <phoneticPr fontId="2" type="noConversion"/>
  </si>
  <si>
    <r>
      <t>如果接收到的打印任务是来自相同的</t>
    </r>
    <r>
      <rPr>
        <sz val="11"/>
        <color theme="3"/>
        <rFont val="GE Inspira"/>
        <family val="2"/>
      </rPr>
      <t>AE Titile</t>
    </r>
    <r>
      <rPr>
        <sz val="11"/>
        <color theme="3"/>
        <rFont val="宋体"/>
        <family val="3"/>
        <charset val="134"/>
      </rPr>
      <t>，但是</t>
    </r>
    <r>
      <rPr>
        <sz val="11"/>
        <color theme="3"/>
        <rFont val="GE Inspira"/>
        <family val="2"/>
      </rPr>
      <t>IP</t>
    </r>
    <r>
      <rPr>
        <sz val="11"/>
        <color theme="3"/>
        <rFont val="宋体"/>
        <family val="3"/>
        <charset val="134"/>
      </rPr>
      <t>地址不相同，则拒绝打印任务</t>
    </r>
    <phoneticPr fontId="2" type="noConversion"/>
  </si>
  <si>
    <r>
      <t>如果接收到的打印任务的</t>
    </r>
    <r>
      <rPr>
        <sz val="11"/>
        <color theme="3"/>
        <rFont val="GE Inspira"/>
        <family val="2"/>
      </rPr>
      <t>Ae Title</t>
    </r>
    <r>
      <rPr>
        <sz val="11"/>
        <color theme="3"/>
        <rFont val="宋体"/>
        <family val="3"/>
        <charset val="134"/>
      </rPr>
      <t>和</t>
    </r>
    <r>
      <rPr>
        <sz val="11"/>
        <color theme="3"/>
        <rFont val="GE Inspira"/>
        <family val="2"/>
      </rPr>
      <t>IP</t>
    </r>
    <r>
      <rPr>
        <sz val="11"/>
        <color theme="3"/>
        <rFont val="宋体"/>
        <family val="3"/>
        <charset val="134"/>
      </rPr>
      <t>地址都存在，则将打印任务直接关联到这个已经存在的设备</t>
    </r>
    <phoneticPr fontId="2" type="noConversion"/>
  </si>
  <si>
    <r>
      <rPr>
        <sz val="14"/>
        <rFont val="宋体"/>
        <family val="3"/>
        <charset val="134"/>
      </rPr>
      <t>可以将</t>
    </r>
    <r>
      <rPr>
        <sz val="14"/>
        <rFont val="GE Inspira"/>
        <family val="2"/>
      </rPr>
      <t>4X6</t>
    </r>
    <r>
      <rPr>
        <sz val="14"/>
        <rFont val="宋体"/>
        <family val="3"/>
        <charset val="134"/>
      </rPr>
      <t>布局的胶片转化为电子胶片</t>
    </r>
    <phoneticPr fontId="0" type="noConversion"/>
  </si>
  <si>
    <r>
      <t>1</t>
    </r>
    <r>
      <rPr>
        <sz val="14"/>
        <rFont val="宋体"/>
        <family val="3"/>
        <charset val="134"/>
      </rPr>
      <t>、修改相关扩展</t>
    </r>
    <r>
      <rPr>
        <sz val="14"/>
        <rFont val="GE Inspira"/>
        <family val="2"/>
      </rPr>
      <t>xml
2</t>
    </r>
    <r>
      <rPr>
        <sz val="14"/>
        <rFont val="宋体"/>
        <family val="3"/>
        <charset val="134"/>
      </rPr>
      <t xml:space="preserve">、在登记台输入患者姓名和患者年龄
</t>
    </r>
    <r>
      <rPr>
        <sz val="14"/>
        <rFont val="GE Inspira"/>
        <family val="2"/>
      </rPr>
      <t>3</t>
    </r>
    <r>
      <rPr>
        <sz val="14"/>
        <rFont val="宋体"/>
        <family val="3"/>
        <charset val="134"/>
      </rPr>
      <t>、光标移回患者姓名按</t>
    </r>
    <r>
      <rPr>
        <sz val="14"/>
        <rFont val="GE Inspira"/>
        <family val="2"/>
      </rPr>
      <t>F2
4</t>
    </r>
    <r>
      <rPr>
        <sz val="14"/>
        <rFont val="宋体"/>
        <family val="3"/>
        <charset val="134"/>
      </rPr>
      <t>、可以查到患者姓名相同，并且出生日期和当前输入的年龄相差在</t>
    </r>
    <r>
      <rPr>
        <sz val="14"/>
        <rFont val="GE Inspira"/>
        <family val="2"/>
      </rPr>
      <t>10</t>
    </r>
    <r>
      <rPr>
        <sz val="14"/>
        <rFont val="宋体"/>
        <family val="3"/>
        <charset val="134"/>
      </rPr>
      <t>岁之内的患者</t>
    </r>
    <phoneticPr fontId="0" type="noConversion"/>
  </si>
  <si>
    <r>
      <rPr>
        <sz val="14"/>
        <rFont val="宋体"/>
        <family val="3"/>
        <charset val="134"/>
      </rPr>
      <t>可以将</t>
    </r>
    <r>
      <rPr>
        <sz val="14"/>
        <rFont val="GE Inspira"/>
        <family val="2"/>
      </rPr>
      <t>DICOM</t>
    </r>
    <r>
      <rPr>
        <sz val="14"/>
        <rFont val="宋体"/>
        <family val="3"/>
        <charset val="134"/>
      </rPr>
      <t>文件转化为</t>
    </r>
    <r>
      <rPr>
        <sz val="14"/>
        <rFont val="GE Inspira"/>
        <family val="2"/>
      </rPr>
      <t>BMP</t>
    </r>
    <r>
      <rPr>
        <sz val="14"/>
        <rFont val="宋体"/>
        <family val="3"/>
        <charset val="134"/>
      </rPr>
      <t>文件供后续</t>
    </r>
    <r>
      <rPr>
        <sz val="14"/>
        <rFont val="GE Inspira"/>
        <family val="2"/>
      </rPr>
      <t>OCR</t>
    </r>
    <r>
      <rPr>
        <sz val="14"/>
        <rFont val="宋体"/>
        <family val="3"/>
        <charset val="134"/>
      </rPr>
      <t>识别使用</t>
    </r>
    <phoneticPr fontId="0" type="noConversion"/>
  </si>
  <si>
    <r>
      <t>D</t>
    </r>
    <r>
      <rPr>
        <sz val="10"/>
        <rFont val="Arial"/>
        <family val="2"/>
      </rPr>
      <t>ay 0</t>
    </r>
    <phoneticPr fontId="2" type="noConversion"/>
  </si>
  <si>
    <r>
      <t>D</t>
    </r>
    <r>
      <rPr>
        <sz val="10"/>
        <rFont val="Arial"/>
        <family val="2"/>
      </rPr>
      <t>ay 1</t>
    </r>
    <r>
      <rPr>
        <sz val="11"/>
        <color theme="1"/>
        <rFont val="宋体"/>
        <family val="2"/>
        <charset val="134"/>
        <scheme val="minor"/>
      </rPr>
      <t/>
    </r>
  </si>
  <si>
    <r>
      <t>D</t>
    </r>
    <r>
      <rPr>
        <sz val="10"/>
        <rFont val="Arial"/>
        <family val="2"/>
      </rPr>
      <t>ay 2</t>
    </r>
    <r>
      <rPr>
        <sz val="11"/>
        <color theme="1"/>
        <rFont val="宋体"/>
        <family val="2"/>
        <charset val="134"/>
        <scheme val="minor"/>
      </rPr>
      <t/>
    </r>
  </si>
  <si>
    <r>
      <t>D</t>
    </r>
    <r>
      <rPr>
        <sz val="10"/>
        <rFont val="Arial"/>
        <family val="2"/>
      </rPr>
      <t>ay 3</t>
    </r>
    <r>
      <rPr>
        <sz val="11"/>
        <color theme="1"/>
        <rFont val="宋体"/>
        <family val="2"/>
        <charset val="134"/>
        <scheme val="minor"/>
      </rPr>
      <t/>
    </r>
  </si>
  <si>
    <r>
      <t>D</t>
    </r>
    <r>
      <rPr>
        <sz val="10"/>
        <rFont val="Arial"/>
        <family val="2"/>
      </rPr>
      <t>ay 4</t>
    </r>
    <r>
      <rPr>
        <sz val="11"/>
        <color theme="1"/>
        <rFont val="宋体"/>
        <family val="2"/>
        <charset val="134"/>
        <scheme val="minor"/>
      </rPr>
      <t/>
    </r>
  </si>
  <si>
    <r>
      <t>D</t>
    </r>
    <r>
      <rPr>
        <sz val="10"/>
        <rFont val="Arial"/>
        <family val="2"/>
      </rPr>
      <t>ay 5</t>
    </r>
    <r>
      <rPr>
        <sz val="11"/>
        <color theme="1"/>
        <rFont val="宋体"/>
        <family val="2"/>
        <charset val="134"/>
        <scheme val="minor"/>
      </rPr>
      <t/>
    </r>
  </si>
  <si>
    <r>
      <t>1</t>
    </r>
    <r>
      <rPr>
        <sz val="14"/>
        <rFont val="宋体"/>
        <family val="3"/>
        <charset val="134"/>
      </rPr>
      <t>、在</t>
    </r>
    <r>
      <rPr>
        <sz val="14"/>
        <rFont val="GE Inspira"/>
        <family val="2"/>
      </rPr>
      <t>QC</t>
    </r>
    <r>
      <rPr>
        <sz val="14"/>
        <rFont val="宋体"/>
        <family val="3"/>
        <charset val="134"/>
      </rPr>
      <t xml:space="preserve">工作站选择创建模板
</t>
    </r>
    <r>
      <rPr>
        <sz val="14"/>
        <rFont val="GE Inspira"/>
        <family val="2"/>
      </rPr>
      <t>2</t>
    </r>
    <r>
      <rPr>
        <sz val="14"/>
        <rFont val="宋体"/>
        <family val="3"/>
        <charset val="134"/>
      </rPr>
      <t xml:space="preserve">、选择模板的类别（影像）和分值类型（分值）
</t>
    </r>
    <r>
      <rPr>
        <sz val="14"/>
        <rFont val="GE Inspira"/>
        <family val="2"/>
      </rPr>
      <t>3</t>
    </r>
    <r>
      <rPr>
        <sz val="14"/>
        <rFont val="宋体"/>
        <family val="3"/>
        <charset val="134"/>
      </rPr>
      <t xml:space="preserve">、显示出新创建的模板
</t>
    </r>
    <r>
      <rPr>
        <sz val="14"/>
        <rFont val="GE Inspira"/>
        <family val="2"/>
      </rPr>
      <t>4</t>
    </r>
    <r>
      <rPr>
        <sz val="14"/>
        <rFont val="宋体"/>
        <family val="3"/>
        <charset val="134"/>
      </rPr>
      <t xml:space="preserve">、可以为新创建的模板设定指标，并且设置指标的分数
</t>
    </r>
    <r>
      <rPr>
        <sz val="14"/>
        <rFont val="GE Inspira"/>
        <family val="2"/>
      </rPr>
      <t>5</t>
    </r>
    <r>
      <rPr>
        <sz val="14"/>
        <rFont val="宋体"/>
        <family val="3"/>
        <charset val="134"/>
      </rPr>
      <t>、选择一个检查，进行影像质控，可以用刚才的分值模板进行质控</t>
    </r>
    <phoneticPr fontId="0" type="noConversion"/>
  </si>
  <si>
    <t>半自动化测试：添加模板为自动化测试，后面利用模板进行质控为手工测试
目前：影像质控必须为二值模板
报告质控必须为分值模板</t>
    <phoneticPr fontId="0" type="noConversion"/>
  </si>
  <si>
    <r>
      <t>1</t>
    </r>
    <r>
      <rPr>
        <sz val="14"/>
        <rFont val="宋体"/>
        <family val="3"/>
        <charset val="134"/>
      </rPr>
      <t>、在</t>
    </r>
    <r>
      <rPr>
        <sz val="14"/>
        <rFont val="GE Inspira"/>
        <family val="2"/>
      </rPr>
      <t>QC</t>
    </r>
    <r>
      <rPr>
        <sz val="14"/>
        <rFont val="宋体"/>
        <family val="3"/>
        <charset val="134"/>
      </rPr>
      <t xml:space="preserve">工作站选择创建模板
</t>
    </r>
    <r>
      <rPr>
        <sz val="14"/>
        <rFont val="GE Inspira"/>
        <family val="2"/>
      </rPr>
      <t>2</t>
    </r>
    <r>
      <rPr>
        <sz val="14"/>
        <rFont val="宋体"/>
        <family val="3"/>
        <charset val="134"/>
      </rPr>
      <t xml:space="preserve">、选择模板的类别（报告）和分值类型（分值）
</t>
    </r>
    <r>
      <rPr>
        <sz val="14"/>
        <rFont val="GE Inspira"/>
        <family val="2"/>
      </rPr>
      <t>3</t>
    </r>
    <r>
      <rPr>
        <sz val="14"/>
        <rFont val="宋体"/>
        <family val="3"/>
        <charset val="134"/>
      </rPr>
      <t xml:space="preserve">、显示出新创建的模板
</t>
    </r>
    <r>
      <rPr>
        <sz val="14"/>
        <rFont val="GE Inspira"/>
        <family val="2"/>
      </rPr>
      <t>4</t>
    </r>
    <r>
      <rPr>
        <sz val="14"/>
        <rFont val="宋体"/>
        <family val="3"/>
        <charset val="134"/>
      </rPr>
      <t>、可以为新创建的模板设定指标，并且分配分数和默认分数
指标</t>
    </r>
    <r>
      <rPr>
        <sz val="14"/>
        <rFont val="GE Inspira"/>
        <family val="2"/>
      </rPr>
      <t>1/5/5;</t>
    </r>
    <r>
      <rPr>
        <sz val="14"/>
        <rFont val="宋体"/>
        <family val="3"/>
        <charset val="134"/>
      </rPr>
      <t>指标</t>
    </r>
    <r>
      <rPr>
        <sz val="14"/>
        <rFont val="GE Inspira"/>
        <family val="2"/>
      </rPr>
      <t>2/10/0;</t>
    </r>
    <r>
      <rPr>
        <sz val="14"/>
        <rFont val="宋体"/>
        <family val="3"/>
        <charset val="134"/>
      </rPr>
      <t>指标</t>
    </r>
    <r>
      <rPr>
        <sz val="14"/>
        <rFont val="GE Inspira"/>
        <family val="2"/>
      </rPr>
      <t>3/2/1
5</t>
    </r>
    <r>
      <rPr>
        <sz val="14"/>
        <rFont val="宋体"/>
        <family val="3"/>
        <charset val="134"/>
      </rPr>
      <t xml:space="preserve">、使用此模板创建的质控记录，默认分数和上一步的设置相同
</t>
    </r>
    <r>
      <rPr>
        <sz val="14"/>
        <rFont val="GE Inspira"/>
        <family val="2"/>
      </rPr>
      <t>1</t>
    </r>
    <r>
      <rPr>
        <sz val="14"/>
        <rFont val="宋体"/>
        <family val="3"/>
        <charset val="134"/>
      </rPr>
      <t>、在</t>
    </r>
    <r>
      <rPr>
        <sz val="14"/>
        <rFont val="GE Inspira"/>
        <family val="2"/>
      </rPr>
      <t>QC</t>
    </r>
    <r>
      <rPr>
        <sz val="14"/>
        <rFont val="宋体"/>
        <family val="3"/>
        <charset val="134"/>
      </rPr>
      <t xml:space="preserve">工作站选择创建模板
</t>
    </r>
    <r>
      <rPr>
        <sz val="14"/>
        <rFont val="GE Inspira"/>
        <family val="2"/>
      </rPr>
      <t>2</t>
    </r>
    <r>
      <rPr>
        <sz val="14"/>
        <rFont val="宋体"/>
        <family val="3"/>
        <charset val="134"/>
      </rPr>
      <t xml:space="preserve">、选择模板的类别（报告）和分值类型（二值）
</t>
    </r>
    <r>
      <rPr>
        <sz val="14"/>
        <rFont val="GE Inspira"/>
        <family val="2"/>
      </rPr>
      <t>3</t>
    </r>
    <r>
      <rPr>
        <sz val="14"/>
        <rFont val="宋体"/>
        <family val="3"/>
        <charset val="134"/>
      </rPr>
      <t xml:space="preserve">、显示出新创建的模板
</t>
    </r>
    <r>
      <rPr>
        <sz val="14"/>
        <rFont val="GE Inspira"/>
        <family val="2"/>
      </rPr>
      <t>4</t>
    </r>
    <r>
      <rPr>
        <sz val="14"/>
        <rFont val="宋体"/>
        <family val="3"/>
        <charset val="134"/>
      </rPr>
      <t>、可以为新创建的模板设定指标，并且分配默认分数
指标</t>
    </r>
    <r>
      <rPr>
        <sz val="14"/>
        <rFont val="GE Inspira"/>
        <family val="2"/>
      </rPr>
      <t>1/1;</t>
    </r>
    <r>
      <rPr>
        <sz val="14"/>
        <rFont val="宋体"/>
        <family val="3"/>
        <charset val="134"/>
      </rPr>
      <t>指标</t>
    </r>
    <r>
      <rPr>
        <sz val="14"/>
        <rFont val="GE Inspira"/>
        <family val="2"/>
      </rPr>
      <t>2/0;</t>
    </r>
    <r>
      <rPr>
        <sz val="14"/>
        <rFont val="宋体"/>
        <family val="3"/>
        <charset val="134"/>
      </rPr>
      <t>指标</t>
    </r>
    <r>
      <rPr>
        <sz val="14"/>
        <rFont val="GE Inspira"/>
        <family val="2"/>
      </rPr>
      <t>3/1
5</t>
    </r>
    <r>
      <rPr>
        <sz val="14"/>
        <rFont val="宋体"/>
        <family val="3"/>
        <charset val="134"/>
      </rPr>
      <t>、使用此模板创建的质控记录，默认分数和上一步的设置相同</t>
    </r>
    <phoneticPr fontId="0" type="noConversion"/>
  </si>
  <si>
    <r>
      <rPr>
        <sz val="14"/>
        <rFont val="宋体"/>
        <family val="3"/>
        <charset val="134"/>
      </rPr>
      <t>半自动化测试：添加模板为自动化测试，后面利用模板进行质控为手工测试
目前，默认都是</t>
    </r>
    <r>
      <rPr>
        <sz val="14"/>
        <rFont val="GE Inspira"/>
        <family val="2"/>
      </rPr>
      <t>0</t>
    </r>
    <r>
      <rPr>
        <sz val="14"/>
        <rFont val="宋体"/>
        <family val="3"/>
        <charset val="134"/>
      </rPr>
      <t>分</t>
    </r>
    <phoneticPr fontId="0" type="noConversion"/>
  </si>
  <si>
    <t>AT</t>
    <phoneticPr fontId="0" type="noConversion"/>
  </si>
  <si>
    <r>
      <t>1</t>
    </r>
    <r>
      <rPr>
        <sz val="14"/>
        <rFont val="宋体"/>
        <family val="3"/>
        <charset val="134"/>
      </rPr>
      <t>、启用</t>
    </r>
    <r>
      <rPr>
        <sz val="14"/>
        <rFont val="GE Inspira"/>
        <family val="2"/>
      </rPr>
      <t>MyWorklist</t>
    </r>
    <r>
      <rPr>
        <sz val="14"/>
        <rFont val="宋体"/>
        <family val="3"/>
        <charset val="134"/>
      </rPr>
      <t>的排版模式</t>
    </r>
    <r>
      <rPr>
        <sz val="14"/>
        <rFont val="GE Inspira"/>
        <family val="2"/>
      </rPr>
      <t xml:space="preserve">
2</t>
    </r>
    <r>
      <rPr>
        <sz val="14"/>
        <rFont val="宋体"/>
        <family val="3"/>
        <charset val="134"/>
      </rPr>
      <t>、分给医生</t>
    </r>
    <r>
      <rPr>
        <sz val="14"/>
        <rFont val="GE Inspira"/>
        <family val="2"/>
      </rPr>
      <t>A</t>
    </r>
    <r>
      <rPr>
        <sz val="14"/>
        <rFont val="宋体"/>
        <family val="3"/>
        <charset val="134"/>
      </rPr>
      <t xml:space="preserve">一份报告
</t>
    </r>
    <r>
      <rPr>
        <sz val="14"/>
        <rFont val="GE Inspira"/>
        <family val="2"/>
      </rPr>
      <t>3</t>
    </r>
    <r>
      <rPr>
        <sz val="14"/>
        <rFont val="宋体"/>
        <family val="3"/>
        <charset val="134"/>
      </rPr>
      <t>、医生</t>
    </r>
    <r>
      <rPr>
        <sz val="14"/>
        <rFont val="GE Inspira"/>
        <family val="2"/>
      </rPr>
      <t>A</t>
    </r>
    <r>
      <rPr>
        <sz val="14"/>
        <rFont val="宋体"/>
        <family val="3"/>
        <charset val="134"/>
      </rPr>
      <t xml:space="preserve">退回
</t>
    </r>
    <r>
      <rPr>
        <sz val="14"/>
        <rFont val="GE Inspira"/>
        <family val="2"/>
      </rPr>
      <t>4</t>
    </r>
    <r>
      <rPr>
        <sz val="14"/>
        <rFont val="宋体"/>
        <family val="3"/>
        <charset val="134"/>
      </rPr>
      <t xml:space="preserve">、在高级查询中选择报告退回为“是”
</t>
    </r>
    <r>
      <rPr>
        <sz val="14"/>
        <rFont val="GE Inspira"/>
        <family val="2"/>
      </rPr>
      <t>5</t>
    </r>
    <r>
      <rPr>
        <sz val="14"/>
        <rFont val="宋体"/>
        <family val="3"/>
        <charset val="134"/>
      </rPr>
      <t>、可以查到这一条被退回的记录，显示退回医生为医生</t>
    </r>
    <r>
      <rPr>
        <sz val="14"/>
        <rFont val="GE Inspira"/>
        <family val="2"/>
      </rPr>
      <t>A</t>
    </r>
    <r>
      <rPr>
        <sz val="14"/>
        <rFont val="宋体"/>
        <family val="3"/>
        <charset val="134"/>
      </rPr>
      <t>，退回时间为当时操作的时间</t>
    </r>
    <phoneticPr fontId="0" type="noConversion"/>
  </si>
  <si>
    <r>
      <t xml:space="preserve">AT
</t>
    </r>
    <r>
      <rPr>
        <sz val="14"/>
        <rFont val="宋体"/>
        <family val="3"/>
        <charset val="134"/>
      </rPr>
      <t>界面由</t>
    </r>
    <r>
      <rPr>
        <sz val="14"/>
        <rFont val="GE Inspira"/>
        <family val="2"/>
      </rPr>
      <t>QTP</t>
    </r>
    <r>
      <rPr>
        <sz val="14"/>
        <rFont val="宋体"/>
        <family val="3"/>
        <charset val="134"/>
      </rPr>
      <t>进行测试
分发逻辑由集成测试完成</t>
    </r>
    <phoneticPr fontId="0" type="noConversion"/>
  </si>
  <si>
    <r>
      <t>1</t>
    </r>
    <r>
      <rPr>
        <sz val="14"/>
        <rFont val="宋体"/>
        <family val="3"/>
        <charset val="134"/>
      </rPr>
      <t xml:space="preserve">、在创建报告集合的时候，我可以选择是否被退还有“是”、“否”、“全部”三个选项
</t>
    </r>
    <r>
      <rPr>
        <sz val="14"/>
        <rFont val="GE Inspira"/>
        <family val="2"/>
      </rPr>
      <t>2</t>
    </r>
    <r>
      <rPr>
        <sz val="14"/>
        <rFont val="宋体"/>
        <family val="3"/>
        <charset val="134"/>
      </rPr>
      <t xml:space="preserve">、创建一个是否被退还选择了“是”的报告集合
</t>
    </r>
    <r>
      <rPr>
        <sz val="14"/>
        <rFont val="GE Inspira"/>
        <family val="2"/>
      </rPr>
      <t>3</t>
    </r>
    <r>
      <rPr>
        <sz val="14"/>
        <rFont val="宋体"/>
        <family val="3"/>
        <charset val="134"/>
      </rPr>
      <t xml:space="preserve">、创建岗位和此报告集合关联
</t>
    </r>
    <r>
      <rPr>
        <sz val="14"/>
        <rFont val="GE Inspira"/>
        <family val="2"/>
      </rPr>
      <t>4</t>
    </r>
    <r>
      <rPr>
        <sz val="14"/>
        <rFont val="宋体"/>
        <family val="3"/>
        <charset val="134"/>
      </rPr>
      <t xml:space="preserve">、在此岗位上选择订阅
</t>
    </r>
    <r>
      <rPr>
        <sz val="14"/>
        <rFont val="GE Inspira"/>
        <family val="2"/>
      </rPr>
      <t>5</t>
    </r>
    <r>
      <rPr>
        <sz val="14"/>
        <rFont val="宋体"/>
        <family val="3"/>
        <charset val="134"/>
      </rPr>
      <t xml:space="preserve">、可以订阅到被退还的报告（退还步骤略）
</t>
    </r>
    <r>
      <rPr>
        <sz val="14"/>
        <rFont val="GE Inspira"/>
        <family val="2"/>
      </rPr>
      <t>6</t>
    </r>
    <r>
      <rPr>
        <sz val="14"/>
        <rFont val="宋体"/>
        <family val="3"/>
        <charset val="134"/>
      </rPr>
      <t>、查询退还报告的时候不包含此检查</t>
    </r>
    <phoneticPr fontId="0" type="noConversion"/>
  </si>
  <si>
    <r>
      <t>1</t>
    </r>
    <r>
      <rPr>
        <sz val="14"/>
        <rFont val="宋体"/>
        <family val="3"/>
        <charset val="134"/>
      </rPr>
      <t xml:space="preserve">、双击某一份报告
</t>
    </r>
    <r>
      <rPr>
        <sz val="14"/>
        <rFont val="GE Inspira"/>
        <family val="2"/>
      </rPr>
      <t>2</t>
    </r>
    <r>
      <rPr>
        <sz val="14"/>
        <rFont val="宋体"/>
        <family val="3"/>
        <charset val="134"/>
      </rPr>
      <t>、打开报告之后提示“未分发，只读方式打开”</t>
    </r>
    <phoneticPr fontId="0" type="noConversion"/>
  </si>
  <si>
    <r>
      <t>1</t>
    </r>
    <r>
      <rPr>
        <sz val="14"/>
        <rFont val="宋体"/>
        <family val="3"/>
        <charset val="134"/>
      </rPr>
      <t>、和</t>
    </r>
    <r>
      <rPr>
        <sz val="14"/>
        <rFont val="GE Inspira"/>
        <family val="2"/>
      </rPr>
      <t>#53</t>
    </r>
    <r>
      <rPr>
        <sz val="14"/>
        <rFont val="宋体"/>
        <family val="3"/>
        <charset val="134"/>
      </rPr>
      <t>的步骤相同</t>
    </r>
    <r>
      <rPr>
        <sz val="14"/>
        <rFont val="GE Inspira"/>
        <family val="2"/>
      </rPr>
      <t xml:space="preserve">
2</t>
    </r>
    <r>
      <rPr>
        <sz val="14"/>
        <rFont val="宋体"/>
        <family val="3"/>
        <charset val="134"/>
      </rPr>
      <t>、点击退还按钮，提示“此订阅的报告无法退还，请联系管理员进行转发”</t>
    </r>
    <phoneticPr fontId="0" type="noConversion"/>
  </si>
  <si>
    <r>
      <t>AT
Pre/Post event</t>
    </r>
    <r>
      <rPr>
        <sz val="14"/>
        <rFont val="宋体"/>
        <family val="3"/>
        <charset val="134"/>
      </rPr>
      <t xml:space="preserve">，扩展接口
</t>
    </r>
    <phoneticPr fontId="0" type="noConversion"/>
  </si>
  <si>
    <r>
      <t>AT
Pre/Post event</t>
    </r>
    <r>
      <rPr>
        <sz val="14"/>
        <rFont val="宋体"/>
        <family val="3"/>
        <charset val="134"/>
      </rPr>
      <t>，扩展接口
要考虑设置退回上限的情况下通过扩展接口可以实现</t>
    </r>
    <phoneticPr fontId="0" type="noConversion"/>
  </si>
  <si>
    <t>Flow Hour</t>
    <phoneticPr fontId="0" type="noConversion"/>
  </si>
  <si>
    <t>Hour per SP</t>
    <phoneticPr fontId="0" type="noConversion"/>
  </si>
  <si>
    <t>Merge MyWorklist功能</t>
    <phoneticPr fontId="2" type="noConversion"/>
  </si>
  <si>
    <t>作为技师，我可以选择多个检查，批量修改设备。这样在某个设备发生故障的时候，我可以批量将他们更换到另一个设备上继续检查</t>
    <phoneticPr fontId="0" type="noConversion"/>
  </si>
  <si>
    <t>作为质控工作站的管理员，我希望可以在建立质控模板的时候，选择是二值模板或者是分值模板。</t>
    <phoneticPr fontId="0" type="noConversion"/>
  </si>
  <si>
    <t>作为用户，我希望在RISCAT中配置的自定义颜色可以在工作站中生效。</t>
    <phoneticPr fontId="0" type="noConversion"/>
  </si>
  <si>
    <t>作为质控工作站的管理员，我希望在建立质控模板的时候，我可以设置某一个指标的的默认分值。在随后使用这个模板进行质控时，可以节省工作量</t>
    <phoneticPr fontId="2" type="noConversion"/>
  </si>
  <si>
    <r>
      <rPr>
        <sz val="14"/>
        <rFont val="宋体"/>
        <family val="3"/>
        <charset val="134"/>
      </rPr>
      <t>作为登记员，我希望在预约界面</t>
    </r>
    <r>
      <rPr>
        <sz val="14"/>
        <rFont val="GE Inspira"/>
        <family val="2"/>
      </rPr>
      <t>(Alt-T)</t>
    </r>
    <r>
      <rPr>
        <sz val="14"/>
        <rFont val="宋体"/>
        <family val="3"/>
        <charset val="134"/>
      </rPr>
      <t>选择时间的时候，双击代表确定，自动退出预约窗口，从而减少我鼠标移动的距离，可以节省时间</t>
    </r>
    <phoneticPr fontId="0" type="noConversion"/>
  </si>
  <si>
    <t>作为登记员，我希望在预约界面(Alt-T)选择时间的时候，双击代表确定，自动退出预约窗口，从而减少我鼠标移动的距离，可以节省时间</t>
    <phoneticPr fontId="2" type="noConversion"/>
  </si>
  <si>
    <t>作为报告医生，我希望可以查询到所有被退回的报告，对于被退回的报告，需要有标记显示这个检查是被退回的，被哪位医生退回的；</t>
    <phoneticPr fontId="2" type="noConversion"/>
  </si>
  <si>
    <t>作为SI工程师，我希望可以在F2查找历史患者的窗口提供查询接口的扩展，可以满足医院的定制化需求</t>
    <phoneticPr fontId="2" type="noConversion"/>
  </si>
  <si>
    <r>
      <rPr>
        <sz val="14"/>
        <rFont val="宋体"/>
        <family val="3"/>
        <charset val="134"/>
      </rPr>
      <t>在</t>
    </r>
    <r>
      <rPr>
        <sz val="14"/>
        <rFont val="GE Inspira"/>
        <family val="2"/>
      </rPr>
      <t>QA</t>
    </r>
    <r>
      <rPr>
        <sz val="14"/>
        <rFont val="宋体"/>
        <family val="3"/>
        <charset val="134"/>
      </rPr>
      <t>工作站能够双击打开患者图像，且能够查看历史图像
客户要求以类似报告工作站的显示方式显示患者历史检查</t>
    </r>
    <phoneticPr fontId="0" type="noConversion"/>
  </si>
  <si>
    <r>
      <rPr>
        <sz val="14"/>
        <rFont val="宋体"/>
        <family val="3"/>
        <charset val="134"/>
      </rPr>
      <t>可以将</t>
    </r>
    <r>
      <rPr>
        <sz val="14"/>
        <rFont val="GE Inspira"/>
        <family val="2"/>
      </rPr>
      <t>1X1</t>
    </r>
    <r>
      <rPr>
        <sz val="14"/>
        <rFont val="宋体"/>
        <family val="3"/>
        <charset val="134"/>
      </rPr>
      <t>布局的胶片转化为电子胶片</t>
    </r>
    <phoneticPr fontId="0" type="noConversion"/>
  </si>
  <si>
    <t>可以将1X1布局的胶片转化为电子胶片</t>
    <phoneticPr fontId="2" type="noConversion"/>
  </si>
  <si>
    <t>Print Controller Refactor</t>
    <phoneticPr fontId="2" type="noConversion"/>
  </si>
  <si>
    <t>Print Controller Refactor</t>
    <phoneticPr fontId="2" type="noConversion"/>
  </si>
  <si>
    <t>作为报告医生，我希望在报告分发功能中，可以订阅被医生退还的报告</t>
    <phoneticPr fontId="0" type="noConversion"/>
  </si>
  <si>
    <t>作为集成工程师，我希望可以扩展报告退回的操作</t>
    <phoneticPr fontId="0" type="noConversion"/>
  </si>
  <si>
    <t>作为质控工作站的管理员，我希望在建立质控模板的时候，我可以设置某一个指标的的默认分值。在随后使用这个模板进行质控时，可以节省工作量</t>
    <phoneticPr fontId="0" type="noConversion"/>
  </si>
  <si>
    <t>作为集成工程师，我希望可以扩展打开报告的操作</t>
    <phoneticPr fontId="0" type="noConversion"/>
  </si>
  <si>
    <t>作为技师，我可以选择多个检查，批量修改设备。这样在某个设备发生故障的时候，我可以批量将他们更换到另一个设备上继续检查</t>
    <phoneticPr fontId="0" type="noConversion"/>
  </si>
  <si>
    <r>
      <rPr>
        <sz val="14"/>
        <rFont val="宋体"/>
        <family val="3"/>
        <charset val="134"/>
      </rPr>
      <t>作为</t>
    </r>
    <r>
      <rPr>
        <sz val="14"/>
        <rFont val="GE Inspira"/>
        <family val="2"/>
      </rPr>
      <t>SI</t>
    </r>
    <r>
      <rPr>
        <sz val="14"/>
        <rFont val="宋体"/>
        <family val="3"/>
        <charset val="134"/>
      </rPr>
      <t>工程师，我希望可以登记工作站扩展一个面板，可以显示医嘱相关的信息，例如</t>
    </r>
    <r>
      <rPr>
        <sz val="14"/>
        <rFont val="GE Inspira"/>
        <family val="2"/>
      </rPr>
      <t>HIS</t>
    </r>
    <r>
      <rPr>
        <sz val="14"/>
        <rFont val="宋体"/>
        <family val="3"/>
        <charset val="134"/>
      </rPr>
      <t>的收费细目信息</t>
    </r>
    <phoneticPr fontId="0" type="noConversion"/>
  </si>
  <si>
    <t>AT</t>
    <phoneticPr fontId="0" type="noConversion"/>
  </si>
  <si>
    <r>
      <rPr>
        <sz val="14"/>
        <rFont val="宋体"/>
        <family val="3"/>
        <charset val="134"/>
      </rPr>
      <t>作为</t>
    </r>
    <r>
      <rPr>
        <sz val="14"/>
        <rFont val="GE Inspira"/>
        <family val="2"/>
      </rPr>
      <t>SI</t>
    </r>
    <r>
      <rPr>
        <sz val="14"/>
        <rFont val="宋体"/>
        <family val="3"/>
        <charset val="134"/>
      </rPr>
      <t>工程师，我希望可以登记工作站扩展的面板可以在填充</t>
    </r>
    <r>
      <rPr>
        <sz val="14"/>
        <rFont val="GE Inspira"/>
        <family val="2"/>
      </rPr>
      <t>HIS</t>
    </r>
    <r>
      <rPr>
        <sz val="14"/>
        <rFont val="宋体"/>
        <family val="3"/>
        <charset val="134"/>
      </rPr>
      <t>医嘱时，填充所需要的信息</t>
    </r>
    <phoneticPr fontId="0" type="noConversion"/>
  </si>
  <si>
    <r>
      <t xml:space="preserve">MT
</t>
    </r>
    <r>
      <rPr>
        <sz val="14"/>
        <rFont val="宋体"/>
        <family val="3"/>
        <charset val="134"/>
      </rPr>
      <t>面板的内容是只读的</t>
    </r>
    <phoneticPr fontId="0" type="noConversion"/>
  </si>
  <si>
    <r>
      <t>1</t>
    </r>
    <r>
      <rPr>
        <sz val="14"/>
        <rFont val="宋体"/>
        <family val="3"/>
        <charset val="134"/>
      </rPr>
      <t>、从</t>
    </r>
    <r>
      <rPr>
        <sz val="14"/>
        <rFont val="GE Inspira"/>
        <family val="2"/>
      </rPr>
      <t>HIS</t>
    </r>
    <r>
      <rPr>
        <sz val="14"/>
        <rFont val="宋体"/>
        <family val="3"/>
        <charset val="134"/>
      </rPr>
      <t xml:space="preserve">集成列表中双击一个医嘱
</t>
    </r>
    <r>
      <rPr>
        <sz val="14"/>
        <rFont val="GE Inspira"/>
        <family val="2"/>
      </rPr>
      <t>2</t>
    </r>
    <r>
      <rPr>
        <sz val="14"/>
        <rFont val="宋体"/>
        <family val="3"/>
        <charset val="134"/>
      </rPr>
      <t>、在扩展面板中显示医嘱对应的收费信息，收费信息表头用</t>
    </r>
    <r>
      <rPr>
        <sz val="14"/>
        <rFont val="GE Inspira"/>
        <family val="2"/>
      </rPr>
      <t>1</t>
    </r>
    <r>
      <rPr>
        <sz val="14"/>
        <rFont val="宋体"/>
        <family val="3"/>
        <charset val="134"/>
      </rPr>
      <t>个</t>
    </r>
    <r>
      <rPr>
        <sz val="14"/>
        <rFont val="GE Inspira"/>
        <family val="2"/>
      </rPr>
      <t>Label</t>
    </r>
    <r>
      <rPr>
        <sz val="14"/>
        <rFont val="宋体"/>
        <family val="3"/>
        <charset val="134"/>
      </rPr>
      <t>显示，具体信息用</t>
    </r>
    <r>
      <rPr>
        <sz val="14"/>
        <rFont val="GE Inspira"/>
        <family val="2"/>
      </rPr>
      <t>3</t>
    </r>
    <r>
      <rPr>
        <sz val="14"/>
        <rFont val="宋体"/>
        <family val="3"/>
        <charset val="134"/>
      </rPr>
      <t>个</t>
    </r>
    <r>
      <rPr>
        <sz val="14"/>
        <rFont val="GE Inspira"/>
        <family val="2"/>
      </rPr>
      <t>Label</t>
    </r>
    <r>
      <rPr>
        <sz val="14"/>
        <rFont val="宋体"/>
        <family val="3"/>
        <charset val="134"/>
      </rPr>
      <t>显示，内容参考台州目前的截图</t>
    </r>
    <phoneticPr fontId="0" type="noConversion"/>
  </si>
  <si>
    <r>
      <t>1</t>
    </r>
    <r>
      <rPr>
        <sz val="14"/>
        <rFont val="宋体"/>
        <family val="3"/>
        <charset val="134"/>
      </rPr>
      <t xml:space="preserve">、配置扩展面板的位置（右或者下）以及面板的实现类的类名
</t>
    </r>
    <r>
      <rPr>
        <sz val="14"/>
        <rFont val="GE Inspira"/>
        <family val="2"/>
      </rPr>
      <t>2</t>
    </r>
    <r>
      <rPr>
        <sz val="14"/>
        <rFont val="宋体"/>
        <family val="3"/>
        <charset val="134"/>
      </rPr>
      <t xml:space="preserve">、启动工作站，登记工作站显示扩展面板
</t>
    </r>
    <r>
      <rPr>
        <sz val="14"/>
        <rFont val="GE Inspira"/>
        <family val="2"/>
      </rPr>
      <t>3</t>
    </r>
    <r>
      <rPr>
        <sz val="14"/>
        <rFont val="宋体"/>
        <family val="3"/>
        <charset val="134"/>
      </rPr>
      <t>、工作站的布局进行调整以容纳更多的空间</t>
    </r>
    <r>
      <rPr>
        <sz val="14"/>
        <rFont val="GE Inspira"/>
        <family val="2"/>
      </rPr>
      <t/>
    </r>
    <phoneticPr fontId="0" type="noConversion"/>
  </si>
  <si>
    <r>
      <rPr>
        <sz val="14"/>
        <rFont val="宋体"/>
        <family val="3"/>
        <charset val="134"/>
      </rPr>
      <t>作为</t>
    </r>
    <r>
      <rPr>
        <sz val="14"/>
        <rFont val="GE Inspira"/>
        <family val="2"/>
      </rPr>
      <t>SI</t>
    </r>
    <r>
      <rPr>
        <sz val="14"/>
        <rFont val="宋体"/>
        <family val="3"/>
        <charset val="134"/>
      </rPr>
      <t>工程师，我希望可以登记工作站扩展的面板在从到检队列和查询队列调取</t>
    </r>
    <r>
      <rPr>
        <sz val="14"/>
        <rFont val="GE Inspira"/>
        <family val="2"/>
      </rPr>
      <t>RIS</t>
    </r>
    <r>
      <rPr>
        <sz val="14"/>
        <rFont val="宋体"/>
        <family val="3"/>
        <charset val="134"/>
      </rPr>
      <t>检查信息时，可以显示所需要的信息</t>
    </r>
    <phoneticPr fontId="0" type="noConversion"/>
  </si>
  <si>
    <r>
      <t>1</t>
    </r>
    <r>
      <rPr>
        <sz val="14"/>
        <rFont val="宋体"/>
        <family val="3"/>
        <charset val="134"/>
      </rPr>
      <t xml:space="preserve">、选择检查方法之后点击到检按钮
</t>
    </r>
    <r>
      <rPr>
        <sz val="14"/>
        <rFont val="GE Inspira"/>
        <family val="2"/>
      </rPr>
      <t>2</t>
    </r>
    <r>
      <rPr>
        <sz val="14"/>
        <rFont val="宋体"/>
        <family val="3"/>
        <charset val="134"/>
      </rPr>
      <t xml:space="preserve">、扩展面板中如果收费信息为空，则不能到检（我们的演示环境可以不实现，不过要考虑实施的可行性）
</t>
    </r>
    <r>
      <rPr>
        <sz val="14"/>
        <rFont val="GE Inspira"/>
        <family val="2"/>
      </rPr>
      <t>3</t>
    </r>
    <r>
      <rPr>
        <sz val="14"/>
        <rFont val="宋体"/>
        <family val="3"/>
        <charset val="134"/>
      </rPr>
      <t xml:space="preserve">、从到检队列和查询队列中双击此检查
</t>
    </r>
    <r>
      <rPr>
        <sz val="14"/>
        <rFont val="GE Inspira"/>
        <family val="2"/>
      </rPr>
      <t>4</t>
    </r>
    <r>
      <rPr>
        <sz val="14"/>
        <rFont val="宋体"/>
        <family val="3"/>
        <charset val="134"/>
      </rPr>
      <t xml:space="preserve">、扩展面板可以显示扩展的信息
</t>
    </r>
    <r>
      <rPr>
        <sz val="14"/>
        <rFont val="GE Inspira"/>
        <family val="2"/>
      </rPr>
      <t>5</t>
    </r>
    <r>
      <rPr>
        <sz val="14"/>
        <rFont val="宋体"/>
        <family val="3"/>
        <charset val="134"/>
      </rPr>
      <t>、点击开始登记，扩展面板清空</t>
    </r>
    <phoneticPr fontId="0" type="noConversion"/>
  </si>
  <si>
    <t>Sprint 7</t>
  </si>
  <si>
    <t>Sprint 8</t>
  </si>
  <si>
    <t>Sprint 9</t>
  </si>
  <si>
    <t>Sprint 10</t>
  </si>
  <si>
    <t>Sprint 11</t>
  </si>
  <si>
    <t>Sprint 12</t>
  </si>
  <si>
    <t>Sprint 13</t>
  </si>
  <si>
    <t>Sprint 14</t>
  </si>
  <si>
    <t>Fix 400 major Sonar issues</t>
    <phoneticPr fontId="2" type="noConversion"/>
  </si>
  <si>
    <t>Backlog Item #59</t>
    <phoneticPr fontId="2" type="noConversion"/>
  </si>
  <si>
    <t>作为用户，当我发现某个检查为异常状态时，我可以设置它为“锁定状态”，防止检查进入下一个环节</t>
    <phoneticPr fontId="2" type="noConversion"/>
  </si>
  <si>
    <t>AT
同医嘱都会被设置为“锁定状态”</t>
    <phoneticPr fontId="2" type="noConversion"/>
  </si>
  <si>
    <t>1、普通用户登录</t>
    <phoneticPr fontId="2" type="noConversion"/>
  </si>
  <si>
    <t>Backlog Item #60</t>
    <phoneticPr fontId="2" type="noConversion"/>
  </si>
  <si>
    <t>作为普通用户，当我操作“锁定状态”的检查时，我会有很多的限制</t>
    <phoneticPr fontId="2" type="noConversion"/>
  </si>
  <si>
    <t>AT</t>
    <phoneticPr fontId="2" type="noConversion"/>
  </si>
  <si>
    <t>Backlog Item #39</t>
    <phoneticPr fontId="2" type="noConversion"/>
  </si>
  <si>
    <t>可以将4X6布局的胶片转化为电子胶片</t>
    <phoneticPr fontId="2" type="noConversion"/>
  </si>
  <si>
    <t>AT
文件夹命名和路径和原来的相同</t>
    <phoneticPr fontId="2" type="noConversion"/>
  </si>
  <si>
    <t>1、打印一个1张胶片4X6的打印任务
2、接收到打印任务之后可以在指定的位置产生Big.jpg和Small.jpg。
3、所有的图像按照4X6拼接起来，中间用白线隔开
4、Big.jpg和原始DICOM的高度和宽度相同
5、Small.jpg的比例和原始DICOM的比例相同，最长的边的像素值是100</t>
    <phoneticPr fontId="2" type="noConversion"/>
  </si>
  <si>
    <t>Backlog Item #61</t>
    <phoneticPr fontId="2" type="noConversion"/>
  </si>
  <si>
    <t>作为管理员，我可以正常操作“锁定状态”的检查</t>
    <phoneticPr fontId="2" type="noConversion"/>
  </si>
  <si>
    <t>Backlog Item #62</t>
    <phoneticPr fontId="2" type="noConversion"/>
  </si>
  <si>
    <t>作为管理员，我可以取消某个检查的“锁定状态”</t>
    <phoneticPr fontId="2" type="noConversion"/>
  </si>
  <si>
    <t>AT
同医嘱都会被取消</t>
    <phoneticPr fontId="2" type="noConversion"/>
  </si>
  <si>
    <t>Backlog Item #40</t>
    <phoneticPr fontId="2" type="noConversion"/>
  </si>
  <si>
    <t>可以将DICOM文件转化为BMP文件供后续OCR识别使用</t>
    <phoneticPr fontId="2" type="noConversion"/>
  </si>
  <si>
    <t xml:space="preserve">1、打印一个1张胶片4X6的打印任务
2、接收到打印任务之后可以将第一个ImageBox中的DICOM文件转化为BMP文件
3、图像和原始DICOM的高度和宽度相同
</t>
    <phoneticPr fontId="2" type="noConversion"/>
  </si>
  <si>
    <t>Backlog Item #63</t>
    <phoneticPr fontId="2" type="noConversion"/>
  </si>
  <si>
    <t>作为SI工程师，我希望可以登记工作站扩展一个面板，可以显示医嘱相关的信息，例如HIS的收费细目信息</t>
    <phoneticPr fontId="2" type="noConversion"/>
  </si>
  <si>
    <t>MT
面板的内容是只读的</t>
    <phoneticPr fontId="2" type="noConversion"/>
  </si>
  <si>
    <t>1、配置扩展面板的位置（右或者下）以及面板的实现类的类名
2、启动工作站，登记工作站显示扩展面板
3、工作站的布局进行调整以容纳更多的空间</t>
    <phoneticPr fontId="2" type="noConversion"/>
  </si>
  <si>
    <t>Backlog Item #64</t>
    <phoneticPr fontId="2" type="noConversion"/>
  </si>
  <si>
    <t>作为SI工程师，我希望可以登记工作站扩展的面板可以在填充HIS医嘱时，填充所需要的信息</t>
    <phoneticPr fontId="2" type="noConversion"/>
  </si>
  <si>
    <t>1、从HIS集成列表中双击一个医嘱
2、在扩展面板中显示医嘱对应的收费信息，收费信息表头用1个Label显示，具体信息用3个Label显示，内容参考台州目前的截图</t>
    <phoneticPr fontId="2" type="noConversion"/>
  </si>
  <si>
    <t>Backlog Item #65</t>
    <phoneticPr fontId="2" type="noConversion"/>
  </si>
  <si>
    <t>作为SI工程师，我希望可以登记工作站扩展的面板在从到检队列和查询队列调取RIS检查信息时，可以显示所需要的信息</t>
    <phoneticPr fontId="2" type="noConversion"/>
  </si>
  <si>
    <t>1、选择检查方法之后点击到检按钮
2、扩展面板中如果收费信息为空，则不能到检（我们的演示环境可以不实现，不过要考虑实施的可行性）
3、从到检队列和查询队列中双击此检查
4、扩展面板可以显示扩展的信息
5、点击开始登记，扩展面板清空</t>
    <phoneticPr fontId="2" type="noConversion"/>
  </si>
  <si>
    <t>Backlog Item #24</t>
    <phoneticPr fontId="2" type="noConversion"/>
  </si>
  <si>
    <t>在QA工作站能够双击打开患者图像，且能够查看历史图像
客户要求以类似报告工作站的显示方式显示患者历史检查</t>
    <phoneticPr fontId="2" type="noConversion"/>
  </si>
  <si>
    <r>
      <t>ECR/ECO</t>
    </r>
    <r>
      <rPr>
        <sz val="14"/>
        <rFont val="宋体"/>
        <family val="3"/>
        <charset val="134"/>
      </rPr>
      <t>流程</t>
    </r>
    <phoneticPr fontId="0" type="noConversion"/>
  </si>
  <si>
    <r>
      <rPr>
        <sz val="14"/>
        <rFont val="宋体"/>
        <family val="3"/>
        <charset val="134"/>
      </rPr>
      <t>作为</t>
    </r>
    <r>
      <rPr>
        <sz val="14"/>
        <rFont val="GE Inspira"/>
        <family val="2"/>
      </rPr>
      <t>SI</t>
    </r>
    <r>
      <rPr>
        <sz val="14"/>
        <rFont val="宋体"/>
        <family val="3"/>
        <charset val="134"/>
      </rPr>
      <t>工程师，我希望可以在</t>
    </r>
    <r>
      <rPr>
        <sz val="14"/>
        <rFont val="GE Inspira"/>
        <family val="2"/>
      </rPr>
      <t>F2</t>
    </r>
    <r>
      <rPr>
        <sz val="14"/>
        <rFont val="宋体"/>
        <family val="3"/>
        <charset val="134"/>
      </rPr>
      <t>查找历史患者的窗口提供查询接口的扩展，可以满足医院的定制化需求</t>
    </r>
    <phoneticPr fontId="0" type="noConversion"/>
  </si>
  <si>
    <t>作为报告医生，我希望可以查询到所有被退回的报告，对于被退回的报告，需要有标记显示这个检查是被退回的，被哪位医生退回的；</t>
    <phoneticPr fontId="0" type="noConversion"/>
  </si>
  <si>
    <t>3.0.5 ECR</t>
    <phoneticPr fontId="0" type="noConversion"/>
  </si>
  <si>
    <t>作为用户，当我发现登记工作站中某个检查为异常状态时，我可以设置它为“制动状态”，防止检查进入下一个环节</t>
  </si>
  <si>
    <r>
      <t xml:space="preserve">AT
</t>
    </r>
    <r>
      <rPr>
        <sz val="14"/>
        <rFont val="宋体"/>
        <family val="3"/>
        <charset val="134"/>
      </rPr>
      <t>同医嘱都会被设置为</t>
    </r>
    <r>
      <rPr>
        <sz val="14"/>
        <rFont val="GE Inspira"/>
        <family val="2"/>
      </rPr>
      <t>“</t>
    </r>
    <r>
      <rPr>
        <sz val="14"/>
        <rFont val="宋体"/>
        <family val="3"/>
        <charset val="134"/>
      </rPr>
      <t>制动状态</t>
    </r>
    <r>
      <rPr>
        <sz val="14"/>
        <rFont val="GE Inspira"/>
        <family val="2"/>
      </rPr>
      <t>”</t>
    </r>
  </si>
  <si>
    <r>
      <t>1</t>
    </r>
    <r>
      <rPr>
        <sz val="14"/>
        <rFont val="宋体"/>
        <family val="3"/>
        <charset val="134"/>
      </rPr>
      <t>、用户登录。</t>
    </r>
    <r>
      <rPr>
        <sz val="14"/>
        <rFont val="GE Inspira"/>
        <family val="2"/>
      </rPr>
      <t>2</t>
    </r>
    <r>
      <rPr>
        <sz val="14"/>
        <rFont val="宋体"/>
        <family val="3"/>
        <charset val="134"/>
      </rPr>
      <t>、新建检查。</t>
    </r>
    <r>
      <rPr>
        <sz val="14"/>
        <rFont val="GE Inspira"/>
        <family val="2"/>
      </rPr>
      <t>3</t>
    </r>
    <r>
      <rPr>
        <sz val="14"/>
        <rFont val="宋体"/>
        <family val="3"/>
        <charset val="134"/>
      </rPr>
      <t>、</t>
    </r>
    <r>
      <rPr>
        <sz val="14"/>
        <rFont val="GE Inspira"/>
        <family val="2"/>
      </rPr>
      <t>richtable</t>
    </r>
    <r>
      <rPr>
        <sz val="14"/>
        <rFont val="宋体"/>
        <family val="3"/>
        <charset val="134"/>
      </rPr>
      <t>中右键该检查选择紧急制动。</t>
    </r>
    <r>
      <rPr>
        <sz val="14"/>
        <rFont val="GE Inspira"/>
        <family val="2"/>
      </rPr>
      <t>4</t>
    </r>
    <r>
      <rPr>
        <sz val="14"/>
        <rFont val="宋体"/>
        <family val="3"/>
        <charset val="134"/>
      </rPr>
      <t>、</t>
    </r>
    <r>
      <rPr>
        <sz val="14"/>
        <rFont val="GE Inspira"/>
        <family val="2"/>
      </rPr>
      <t>richtable</t>
    </r>
    <r>
      <rPr>
        <sz val="14"/>
        <rFont val="宋体"/>
        <family val="3"/>
        <charset val="134"/>
      </rPr>
      <t>中显示锁定图标。</t>
    </r>
    <r>
      <rPr>
        <sz val="14"/>
        <rFont val="GE Inspira"/>
        <family val="2"/>
      </rPr>
      <t>5</t>
    </r>
    <r>
      <rPr>
        <sz val="14"/>
        <rFont val="宋体"/>
        <family val="3"/>
        <charset val="134"/>
      </rPr>
      <t>、登记工作站双击检查，检查为只读。</t>
    </r>
    <r>
      <rPr>
        <sz val="14"/>
        <rFont val="GE Inspira"/>
        <family val="2"/>
      </rPr>
      <t>6</t>
    </r>
    <r>
      <rPr>
        <sz val="14"/>
        <rFont val="宋体"/>
        <family val="3"/>
        <charset val="134"/>
      </rPr>
      <t>、</t>
    </r>
    <r>
      <rPr>
        <sz val="14"/>
        <rFont val="GE Inspira"/>
        <family val="2"/>
      </rPr>
      <t>richtable</t>
    </r>
    <r>
      <rPr>
        <sz val="14"/>
        <rFont val="宋体"/>
        <family val="3"/>
        <charset val="134"/>
      </rPr>
      <t>右键菜单部分禁用。</t>
    </r>
    <r>
      <rPr>
        <sz val="14"/>
        <rFont val="GE Inspira"/>
        <family val="2"/>
      </rPr>
      <t>7</t>
    </r>
    <r>
      <rPr>
        <sz val="14"/>
        <rFont val="宋体"/>
        <family val="3"/>
        <charset val="134"/>
      </rPr>
      <t>、浏览信息不能修改。</t>
    </r>
  </si>
  <si>
    <t>作为用户，当我发现QA工作站中某个检查为异常状态时，我可以设置它为“制动状态”，防止检查进入下一个环节</t>
  </si>
  <si>
    <r>
      <t xml:space="preserve">#59 step 1 - 7 </t>
    </r>
    <r>
      <rPr>
        <sz val="14"/>
        <rFont val="宋体"/>
        <family val="3"/>
        <charset val="134"/>
      </rPr>
      <t>（除了</t>
    </r>
    <r>
      <rPr>
        <sz val="14"/>
        <rFont val="GE Inspira"/>
        <family val="2"/>
      </rPr>
      <t>5</t>
    </r>
    <r>
      <rPr>
        <sz val="14"/>
        <rFont val="宋体"/>
        <family val="3"/>
        <charset val="134"/>
      </rPr>
      <t>）；右侧与检查状态相关按钮禁用。自动匹配后，检查状态不变为已检查。支持多选。多个检查（包含制动和未制动）选择时右键显示制动</t>
    </r>
  </si>
  <si>
    <r>
      <t xml:space="preserve">#59 step 1 - 7 </t>
    </r>
    <r>
      <rPr>
        <sz val="14"/>
        <rFont val="宋体"/>
        <family val="3"/>
        <charset val="134"/>
      </rPr>
      <t>（除了</t>
    </r>
    <r>
      <rPr>
        <sz val="14"/>
        <rFont val="GE Inspira"/>
        <family val="2"/>
      </rPr>
      <t>5</t>
    </r>
    <r>
      <rPr>
        <sz val="14"/>
        <rFont val="宋体"/>
        <family val="3"/>
        <charset val="134"/>
      </rPr>
      <t>）；报告工作站中右侧与检查状态相关按钮禁用。</t>
    </r>
  </si>
  <si>
    <t>作为管理员，我可以正常操作“制动状态”的检查</t>
  </si>
  <si>
    <r>
      <t xml:space="preserve">AT
</t>
    </r>
    <r>
      <rPr>
        <sz val="14"/>
        <rFont val="宋体"/>
        <family val="3"/>
        <charset val="134"/>
      </rPr>
      <t>添加一个权限</t>
    </r>
  </si>
  <si>
    <r>
      <t>1</t>
    </r>
    <r>
      <rPr>
        <sz val="14"/>
        <rFont val="宋体"/>
        <family val="3"/>
        <charset val="134"/>
      </rPr>
      <t>、管理员登陆。</t>
    </r>
    <r>
      <rPr>
        <sz val="14"/>
        <rFont val="GE Inspira"/>
        <family val="2"/>
      </rPr>
      <t>2</t>
    </r>
    <r>
      <rPr>
        <sz val="14"/>
        <rFont val="宋体"/>
        <family val="3"/>
        <charset val="134"/>
      </rPr>
      <t>、锁定一个检查。</t>
    </r>
    <r>
      <rPr>
        <sz val="14"/>
        <rFont val="GE Inspira"/>
        <family val="2"/>
      </rPr>
      <t>3</t>
    </r>
    <r>
      <rPr>
        <sz val="14"/>
        <rFont val="宋体"/>
        <family val="3"/>
        <charset val="134"/>
      </rPr>
      <t>、各个工作站查看检查，操作状态正常。（为可操作状态）</t>
    </r>
  </si>
  <si>
    <t>作为用户，当我发现报告工作站中某个检查为异常状态时，我可以设置它为“制动状态”，防止检查进入下一个环节（先打开报告，后制动）</t>
    <phoneticPr fontId="0" type="noConversion"/>
  </si>
  <si>
    <t>作为用户，当我发现报告工作站中某个检查为异常状态时，我可以设置它为“制动状态”，防止检查进入下一个环节（先制动，后打开报告）</t>
    <phoneticPr fontId="0" type="noConversion"/>
  </si>
  <si>
    <r>
      <t>1</t>
    </r>
    <r>
      <rPr>
        <sz val="14"/>
        <rFont val="宋体"/>
        <family val="3"/>
        <charset val="134"/>
      </rPr>
      <t>、用户登录。</t>
    </r>
    <r>
      <rPr>
        <sz val="14"/>
        <rFont val="GE Inspira"/>
        <family val="2"/>
      </rPr>
      <t>2</t>
    </r>
    <r>
      <rPr>
        <sz val="14"/>
        <rFont val="宋体"/>
        <family val="3"/>
        <charset val="134"/>
      </rPr>
      <t>、打开报告进行编辑。</t>
    </r>
    <r>
      <rPr>
        <sz val="14"/>
        <rFont val="GE Inspira"/>
        <family val="2"/>
      </rPr>
      <t>3</t>
    </r>
    <r>
      <rPr>
        <sz val="14"/>
        <rFont val="宋体"/>
        <family val="3"/>
        <charset val="134"/>
      </rPr>
      <t>、其它工作站将该检查设置了制动。</t>
    </r>
    <r>
      <rPr>
        <sz val="14"/>
        <rFont val="GE Inspira"/>
        <family val="2"/>
      </rPr>
      <t>4</t>
    </r>
    <r>
      <rPr>
        <sz val="14"/>
        <rFont val="宋体"/>
        <family val="3"/>
        <charset val="134"/>
      </rPr>
      <t>、提交、审核、打印报告时提示已制动，无法操作</t>
    </r>
    <phoneticPr fontId="0" type="noConversion"/>
  </si>
  <si>
    <t>作为用户，当我发现登记工作站中某个检查为异常状态时，我可以设置它为“制动状态”，防止检查进入下一个环节</t>
    <phoneticPr fontId="0" type="noConversion"/>
  </si>
  <si>
    <t>作为用户，当我发现QA工作站中某个检查为异常状态时，我可以设置它为“制动状态”，防止检查进入下一个环节</t>
    <phoneticPr fontId="0" type="noConversion"/>
  </si>
  <si>
    <t>作为用户，当我发现报告工作站中某个检查为异常状态时，我可以设置它为“制动状态”，防止检查进入下一个环节（先打开报告，后制动）</t>
    <phoneticPr fontId="0" type="noConversion"/>
  </si>
  <si>
    <t>作为管理员，我可以正常操作“制动状态”的检查</t>
    <phoneticPr fontId="0" type="noConversion"/>
  </si>
  <si>
    <t>作为用户，当我发现报告工作站中某个检查为异常状态时，我可以设置它为“制动状态”，防止检查进入下一个环节（先制动，后打开报告）</t>
    <phoneticPr fontId="0"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</si>
</sst>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0"/>
  </numFmts>
  <fonts count="33" x14ac:knownFonts="1">
    <font>
      <sz val="10"/>
      <name val="Arial"/>
    </font>
    <font>
      <sz val="11"/>
      <color theme="1"/>
      <name val="宋体"/>
      <family val="2"/>
      <charset val="134"/>
      <scheme val="minor"/>
    </font>
    <font>
      <sz val="9"/>
      <name val="宋体"/>
      <family val="3"/>
      <charset val="134"/>
    </font>
    <font>
      <b/>
      <sz val="8"/>
      <color indexed="81"/>
      <name val="Tahoma"/>
      <family val="2"/>
    </font>
    <font>
      <sz val="8"/>
      <color indexed="81"/>
      <name val="Tahoma"/>
      <family val="2"/>
    </font>
    <font>
      <sz val="10"/>
      <color rgb="FF000000"/>
      <name val="Arial"/>
      <family val="2"/>
    </font>
    <font>
      <sz val="10"/>
      <name val="GE Inspira"/>
      <family val="2"/>
    </font>
    <font>
      <b/>
      <sz val="14"/>
      <name val="GE Inspira"/>
      <family val="2"/>
    </font>
    <font>
      <sz val="36"/>
      <name val="GE Inspira"/>
      <family val="2"/>
    </font>
    <font>
      <sz val="14"/>
      <name val="GE Inspira"/>
      <family val="2"/>
    </font>
    <font>
      <b/>
      <sz val="14"/>
      <color indexed="16"/>
      <name val="GE Inspira"/>
      <family val="2"/>
    </font>
    <font>
      <b/>
      <sz val="14"/>
      <color indexed="18"/>
      <name val="GE Inspira"/>
      <family val="2"/>
    </font>
    <font>
      <sz val="14"/>
      <color indexed="55"/>
      <name val="GE Inspira"/>
      <family val="2"/>
    </font>
    <font>
      <sz val="14"/>
      <color indexed="18"/>
      <name val="GE Inspira"/>
      <family val="2"/>
    </font>
    <font>
      <sz val="14"/>
      <name val="宋体"/>
      <family val="3"/>
      <charset val="134"/>
    </font>
    <font>
      <sz val="14"/>
      <color rgb="FF000000"/>
      <name val="宋体"/>
      <family val="3"/>
      <charset val="134"/>
    </font>
    <font>
      <sz val="14"/>
      <color theme="1"/>
      <name val="宋体"/>
      <family val="3"/>
      <charset val="134"/>
    </font>
    <font>
      <sz val="14"/>
      <color theme="1"/>
      <name val="GE Inspira"/>
      <family val="2"/>
    </font>
    <font>
      <b/>
      <sz val="13"/>
      <name val="GE Inspira"/>
      <family val="2"/>
    </font>
    <font>
      <sz val="11"/>
      <name val="GE Inspira"/>
      <family val="2"/>
    </font>
    <font>
      <strike/>
      <sz val="14"/>
      <name val="宋体"/>
      <family val="3"/>
      <charset val="134"/>
    </font>
    <font>
      <strike/>
      <sz val="14"/>
      <color indexed="18"/>
      <name val="宋体"/>
      <family val="3"/>
      <charset val="134"/>
    </font>
    <font>
      <strike/>
      <sz val="14"/>
      <color theme="1"/>
      <name val="宋体"/>
      <family val="3"/>
      <charset val="134"/>
    </font>
    <font>
      <sz val="11"/>
      <color theme="1"/>
      <name val="宋体"/>
      <family val="2"/>
      <scheme val="minor"/>
    </font>
    <font>
      <sz val="11"/>
      <color theme="1"/>
      <name val="GE Inspira"/>
      <family val="2"/>
    </font>
    <font>
      <sz val="11"/>
      <color theme="3"/>
      <name val="GE Inspira"/>
      <family val="2"/>
    </font>
    <font>
      <b/>
      <sz val="18"/>
      <color theme="3"/>
      <name val="GE Inspira"/>
      <family val="2"/>
    </font>
    <font>
      <b/>
      <sz val="11"/>
      <color theme="0"/>
      <name val="GE Inspira"/>
      <family val="2"/>
    </font>
    <font>
      <b/>
      <sz val="10"/>
      <color rgb="FF0C1B3E"/>
      <name val="GE Inspira Pitch"/>
      <family val="2"/>
    </font>
    <font>
      <sz val="10"/>
      <color theme="1"/>
      <name val="宋体"/>
      <family val="3"/>
      <charset val="134"/>
      <scheme val="minor"/>
    </font>
    <font>
      <sz val="10"/>
      <color rgb="FF0C1B3E"/>
      <name val="GE Inspira Pitch"/>
      <family val="2"/>
    </font>
    <font>
      <sz val="11"/>
      <color theme="3"/>
      <name val="宋体"/>
      <family val="3"/>
      <charset val="134"/>
    </font>
    <font>
      <sz val="10"/>
      <name val="Arial"/>
      <family val="2"/>
    </font>
  </fonts>
  <fills count="8">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42"/>
        <bgColor indexed="64"/>
      </patternFill>
    </fill>
    <fill>
      <patternFill patternType="solid">
        <fgColor theme="3"/>
        <bgColor indexed="64"/>
      </patternFill>
    </fill>
    <fill>
      <patternFill patternType="solid">
        <fgColor theme="4" tint="0.79998168889431442"/>
        <bgColor indexed="64"/>
      </patternFill>
    </fill>
  </fills>
  <borders count="1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23" fillId="0" borderId="0"/>
  </cellStyleXfs>
  <cellXfs count="69">
    <xf numFmtId="0" fontId="0" fillId="0" borderId="0" xfId="0"/>
    <xf numFmtId="0" fontId="6" fillId="0" borderId="1" xfId="0" applyFont="1" applyBorder="1"/>
    <xf numFmtId="0" fontId="6" fillId="0" borderId="2" xfId="0" applyFont="1" applyBorder="1"/>
    <xf numFmtId="0" fontId="6" fillId="0" borderId="3" xfId="0" applyFont="1" applyBorder="1"/>
    <xf numFmtId="0" fontId="6" fillId="0" borderId="0" xfId="0" applyFont="1"/>
    <xf numFmtId="0" fontId="6" fillId="0" borderId="4" xfId="0" applyFont="1" applyBorder="1"/>
    <xf numFmtId="0" fontId="6" fillId="0" borderId="0" xfId="0" applyFont="1" applyBorder="1"/>
    <xf numFmtId="0" fontId="6" fillId="0" borderId="5" xfId="0" applyFont="1" applyBorder="1"/>
    <xf numFmtId="0" fontId="8" fillId="0" borderId="9" xfId="0" applyFont="1" applyBorder="1" applyAlignment="1">
      <alignment horizontal="right" vertical="center"/>
    </xf>
    <xf numFmtId="0" fontId="8" fillId="0" borderId="9" xfId="0" applyFont="1" applyBorder="1" applyAlignment="1">
      <alignment vertical="top" wrapText="1"/>
    </xf>
    <xf numFmtId="0" fontId="6" fillId="0" borderId="9" xfId="0" applyFont="1" applyBorder="1"/>
    <xf numFmtId="0" fontId="6" fillId="0" borderId="6" xfId="0" applyFont="1" applyBorder="1"/>
    <xf numFmtId="0" fontId="6" fillId="0" borderId="7" xfId="0" applyFont="1" applyBorder="1"/>
    <xf numFmtId="0" fontId="6" fillId="0" borderId="8" xfId="0" applyFont="1" applyBorder="1"/>
    <xf numFmtId="1" fontId="7" fillId="2" borderId="0" xfId="0" applyNumberFormat="1" applyFont="1" applyFill="1" applyBorder="1" applyAlignment="1">
      <alignment horizontal="left" wrapText="1"/>
    </xf>
    <xf numFmtId="1" fontId="10" fillId="2" borderId="0" xfId="0" applyNumberFormat="1" applyFont="1" applyFill="1" applyBorder="1" applyAlignment="1">
      <alignment horizontal="left" wrapText="1"/>
    </xf>
    <xf numFmtId="0" fontId="7" fillId="2" borderId="0" xfId="0" applyNumberFormat="1" applyFont="1" applyFill="1" applyBorder="1" applyAlignment="1">
      <alignment horizontal="left" wrapText="1"/>
    </xf>
    <xf numFmtId="176" fontId="11" fillId="2" borderId="0" xfId="0" applyNumberFormat="1" applyFont="1" applyFill="1" applyBorder="1" applyAlignment="1">
      <alignment horizontal="left" wrapText="1"/>
    </xf>
    <xf numFmtId="0" fontId="12" fillId="0" borderId="0" xfId="0" applyNumberFormat="1" applyFont="1" applyFill="1" applyBorder="1" applyAlignment="1">
      <alignment horizontal="left" vertical="top" wrapText="1"/>
    </xf>
    <xf numFmtId="1" fontId="9" fillId="4" borderId="0" xfId="0" applyNumberFormat="1" applyFont="1" applyFill="1" applyBorder="1" applyAlignment="1">
      <alignment horizontal="left" vertical="top" wrapText="1"/>
    </xf>
    <xf numFmtId="0" fontId="9" fillId="0" borderId="0" xfId="0" applyNumberFormat="1" applyFont="1" applyFill="1" applyBorder="1" applyAlignment="1">
      <alignment horizontal="left" vertical="top" wrapText="1"/>
    </xf>
    <xf numFmtId="0" fontId="13" fillId="5" borderId="0" xfId="0" applyNumberFormat="1" applyFont="1" applyFill="1" applyBorder="1" applyAlignment="1">
      <alignment horizontal="left" vertical="top" wrapText="1"/>
    </xf>
    <xf numFmtId="0" fontId="12" fillId="0" borderId="0" xfId="0" applyFont="1" applyBorder="1" applyAlignment="1">
      <alignment horizontal="left" vertical="top" wrapText="1"/>
    </xf>
    <xf numFmtId="0" fontId="9" fillId="4" borderId="0" xfId="0" applyFont="1" applyFill="1" applyBorder="1" applyAlignment="1">
      <alignment horizontal="left" vertical="top" wrapText="1"/>
    </xf>
    <xf numFmtId="0" fontId="9" fillId="0" borderId="0" xfId="0" applyFont="1" applyBorder="1" applyAlignment="1">
      <alignment horizontal="left" vertical="top" wrapText="1"/>
    </xf>
    <xf numFmtId="0" fontId="9" fillId="5" borderId="0" xfId="0" applyFont="1" applyFill="1" applyBorder="1" applyAlignment="1">
      <alignment horizontal="left" vertical="top" wrapText="1"/>
    </xf>
    <xf numFmtId="0" fontId="9" fillId="0" borderId="0" xfId="0" applyFont="1" applyBorder="1" applyAlignment="1">
      <alignment horizontal="left" vertical="top"/>
    </xf>
    <xf numFmtId="0" fontId="9" fillId="3" borderId="0" xfId="0" applyFont="1" applyFill="1" applyBorder="1" applyAlignment="1">
      <alignment horizontal="left" vertical="top"/>
    </xf>
    <xf numFmtId="0" fontId="12" fillId="0" borderId="0" xfId="0" applyFont="1" applyBorder="1" applyAlignment="1">
      <alignment horizontal="left" vertical="top"/>
    </xf>
    <xf numFmtId="0" fontId="9" fillId="4" borderId="0" xfId="0" applyFont="1" applyFill="1" applyBorder="1" applyAlignment="1">
      <alignment horizontal="left" vertical="top"/>
    </xf>
    <xf numFmtId="0" fontId="9" fillId="5" borderId="0" xfId="0" applyFont="1" applyFill="1" applyBorder="1" applyAlignment="1">
      <alignment horizontal="left" vertical="top"/>
    </xf>
    <xf numFmtId="1" fontId="12" fillId="0" borderId="0" xfId="0" applyNumberFormat="1" applyFont="1" applyBorder="1" applyAlignment="1">
      <alignment horizontal="left" vertical="top"/>
    </xf>
    <xf numFmtId="176" fontId="9" fillId="5" borderId="0" xfId="0" applyNumberFormat="1" applyFont="1" applyFill="1" applyBorder="1" applyAlignment="1">
      <alignment horizontal="left" vertical="top"/>
    </xf>
    <xf numFmtId="0" fontId="14" fillId="0" borderId="0" xfId="0" applyNumberFormat="1" applyFont="1" applyFill="1" applyBorder="1" applyAlignment="1">
      <alignment horizontal="left" vertical="top" wrapText="1"/>
    </xf>
    <xf numFmtId="0" fontId="14" fillId="0" borderId="0" xfId="0" applyFont="1" applyBorder="1" applyAlignment="1">
      <alignment horizontal="left" vertical="top"/>
    </xf>
    <xf numFmtId="0" fontId="18" fillId="0" borderId="0" xfId="0" applyFont="1" applyBorder="1" applyAlignment="1">
      <alignment vertical="top" wrapText="1"/>
    </xf>
    <xf numFmtId="0" fontId="15" fillId="0" borderId="0" xfId="0" applyNumberFormat="1" applyFont="1" applyFill="1" applyBorder="1" applyAlignment="1">
      <alignment horizontal="left" vertical="top" wrapText="1"/>
    </xf>
    <xf numFmtId="0" fontId="9" fillId="0" borderId="0" xfId="0" quotePrefix="1" applyNumberFormat="1" applyFont="1" applyFill="1" applyBorder="1" applyAlignment="1">
      <alignment horizontal="left" vertical="top" wrapText="1"/>
    </xf>
    <xf numFmtId="0" fontId="19" fillId="0" borderId="9" xfId="0" applyFont="1" applyBorder="1" applyAlignment="1">
      <alignment vertical="top" wrapText="1"/>
    </xf>
    <xf numFmtId="0" fontId="20" fillId="0" borderId="0" xfId="0" applyNumberFormat="1" applyFont="1" applyFill="1" applyBorder="1" applyAlignment="1">
      <alignment horizontal="left" vertical="top" wrapText="1"/>
    </xf>
    <xf numFmtId="0" fontId="21" fillId="5" borderId="0" xfId="0" applyNumberFormat="1" applyFont="1" applyFill="1" applyBorder="1" applyAlignment="1">
      <alignment horizontal="left" vertical="top" wrapText="1"/>
    </xf>
    <xf numFmtId="0" fontId="20" fillId="0" borderId="0" xfId="0" applyFont="1" applyBorder="1" applyAlignment="1">
      <alignment horizontal="left" vertical="top"/>
    </xf>
    <xf numFmtId="0" fontId="7" fillId="0" borderId="0" xfId="0" applyFont="1" applyBorder="1" applyAlignment="1">
      <alignment horizontal="left" vertical="top" wrapText="1"/>
    </xf>
    <xf numFmtId="0" fontId="7" fillId="0" borderId="0" xfId="0" applyFont="1" applyBorder="1" applyAlignment="1">
      <alignment horizontal="left" vertical="top"/>
    </xf>
    <xf numFmtId="0" fontId="20" fillId="5" borderId="0" xfId="0" applyFont="1" applyFill="1" applyBorder="1" applyAlignment="1">
      <alignment horizontal="left" vertical="top" wrapText="1"/>
    </xf>
    <xf numFmtId="0" fontId="23" fillId="0" borderId="0" xfId="1"/>
    <xf numFmtId="0" fontId="28" fillId="0" borderId="0" xfId="1" applyFont="1" applyAlignment="1">
      <alignment horizontal="center" vertical="center" readingOrder="1"/>
    </xf>
    <xf numFmtId="0" fontId="29" fillId="0" borderId="0" xfId="1" applyFont="1" applyAlignment="1">
      <alignment horizontal="left" vertical="center" readingOrder="1"/>
    </xf>
    <xf numFmtId="0" fontId="23" fillId="0" borderId="0" xfId="1"/>
    <xf numFmtId="0" fontId="24" fillId="0" borderId="0" xfId="1" applyFont="1"/>
    <xf numFmtId="0" fontId="24" fillId="0" borderId="0" xfId="1" applyFont="1" applyFill="1"/>
    <xf numFmtId="0" fontId="25" fillId="7" borderId="10" xfId="1" applyFont="1" applyFill="1" applyBorder="1"/>
    <xf numFmtId="0" fontId="25" fillId="7" borderId="10" xfId="1" applyFont="1" applyFill="1" applyBorder="1" applyAlignment="1">
      <alignment wrapText="1"/>
    </xf>
    <xf numFmtId="0" fontId="25" fillId="0" borderId="10" xfId="1" applyFont="1" applyBorder="1"/>
    <xf numFmtId="0" fontId="25" fillId="0" borderId="10" xfId="1" applyFont="1" applyBorder="1" applyAlignment="1">
      <alignment wrapText="1"/>
    </xf>
    <xf numFmtId="0" fontId="26" fillId="0" borderId="10" xfId="1" applyFont="1" applyBorder="1" applyAlignment="1">
      <alignment wrapText="1"/>
    </xf>
    <xf numFmtId="0" fontId="26" fillId="0" borderId="10" xfId="1" applyFont="1" applyBorder="1"/>
    <xf numFmtId="0" fontId="27" fillId="6" borderId="10" xfId="1" applyFont="1" applyFill="1" applyBorder="1"/>
    <xf numFmtId="0" fontId="27" fillId="6" borderId="10" xfId="1" applyFont="1" applyFill="1" applyBorder="1" applyAlignment="1">
      <alignment wrapText="1"/>
    </xf>
    <xf numFmtId="0" fontId="31" fillId="0" borderId="10" xfId="1" applyFont="1" applyBorder="1" applyAlignment="1">
      <alignment wrapText="1"/>
    </xf>
    <xf numFmtId="0" fontId="14" fillId="0" borderId="0" xfId="0" applyFont="1" applyBorder="1" applyAlignment="1">
      <alignment horizontal="left" vertical="top" wrapText="1"/>
    </xf>
    <xf numFmtId="0" fontId="32" fillId="0" borderId="0" xfId="0" applyFont="1"/>
    <xf numFmtId="0" fontId="27" fillId="6" borderId="10" xfId="1" applyFont="1" applyFill="1" applyBorder="1" applyAlignment="1">
      <alignment horizontal="center"/>
    </xf>
    <xf numFmtId="0" fontId="27" fillId="6" borderId="10" xfId="1" applyFont="1" applyFill="1" applyBorder="1" applyAlignment="1">
      <alignment horizontal="center" wrapText="1"/>
    </xf>
    <xf numFmtId="0" fontId="25" fillId="0" borderId="11" xfId="1" applyFont="1" applyBorder="1" applyAlignment="1">
      <alignment horizontal="center" vertical="center"/>
    </xf>
    <xf numFmtId="0" fontId="25" fillId="0" borderId="12" xfId="1" applyFont="1" applyBorder="1" applyAlignment="1">
      <alignment horizontal="center" vertical="center"/>
    </xf>
    <xf numFmtId="0" fontId="25" fillId="0" borderId="13" xfId="1" applyFont="1" applyBorder="1" applyAlignment="1">
      <alignment horizontal="center" vertical="center"/>
    </xf>
    <xf numFmtId="0" fontId="25" fillId="7" borderId="12" xfId="1" applyFont="1" applyFill="1" applyBorder="1" applyAlignment="1">
      <alignment horizontal="center" vertical="center"/>
    </xf>
    <xf numFmtId="0" fontId="25" fillId="7" borderId="13" xfId="1" applyFont="1" applyFill="1" applyBorder="1" applyAlignment="1">
      <alignment horizontal="center" vertical="center"/>
    </xf>
  </cellXfs>
  <cellStyles count="2">
    <cellStyle name="常规" xfId="0" builtinId="0"/>
    <cellStyle name="常规 2" xfId="1"/>
  </cellStyles>
  <dxfs count="22">
    <dxf>
      <font>
        <color auto="1"/>
      </font>
      <fill>
        <patternFill patternType="solid">
          <bgColor theme="1" tint="0.499984740745262"/>
        </patternFill>
      </fill>
    </dxf>
    <dxf>
      <font>
        <color theme="0"/>
      </font>
      <fill>
        <patternFill patternType="lightUp"/>
      </fill>
    </dxf>
    <dxf>
      <font>
        <color auto="1"/>
      </font>
      <fill>
        <patternFill patternType="solid">
          <bgColor theme="1" tint="0.499984740745262"/>
        </patternFill>
      </fill>
    </dxf>
    <dxf>
      <font>
        <color theme="0"/>
      </font>
      <fill>
        <patternFill patternType="lightUp"/>
      </fill>
    </dxf>
    <dxf>
      <font>
        <color auto="1"/>
      </font>
      <fill>
        <patternFill patternType="solid">
          <bgColor theme="1" tint="0.499984740745262"/>
        </patternFill>
      </fill>
    </dxf>
    <dxf>
      <font>
        <color theme="0"/>
      </font>
      <fill>
        <patternFill patternType="lightUp"/>
      </fill>
    </dxf>
    <dxf>
      <font>
        <color auto="1"/>
      </font>
      <fill>
        <patternFill patternType="solid">
          <bgColor theme="1" tint="0.499984740745262"/>
        </patternFill>
      </fill>
    </dxf>
    <dxf>
      <font>
        <color theme="0"/>
      </font>
      <fill>
        <patternFill patternType="lightUp"/>
      </fill>
    </dxf>
    <dxf>
      <font>
        <color auto="1"/>
      </font>
      <fill>
        <patternFill patternType="solid">
          <bgColor theme="1" tint="0.499984740745262"/>
        </patternFill>
      </fill>
    </dxf>
    <dxf>
      <font>
        <color theme="0"/>
      </font>
      <fill>
        <patternFill patternType="lightUp"/>
      </fill>
    </dxf>
    <dxf>
      <font>
        <color auto="1"/>
      </font>
      <fill>
        <patternFill patternType="solid">
          <bgColor theme="1" tint="0.499984740745262"/>
        </patternFill>
      </fill>
    </dxf>
    <dxf>
      <font>
        <color theme="0"/>
      </font>
      <fill>
        <patternFill patternType="lightUp"/>
      </fill>
    </dxf>
    <dxf>
      <font>
        <color auto="1"/>
      </font>
      <fill>
        <patternFill patternType="solid">
          <bgColor theme="1" tint="0.499984740745262"/>
        </patternFill>
      </fill>
    </dxf>
    <dxf>
      <font>
        <color theme="0"/>
      </font>
      <fill>
        <patternFill patternType="lightUp"/>
      </fill>
    </dxf>
    <dxf>
      <font>
        <color auto="1"/>
      </font>
      <fill>
        <patternFill patternType="solid">
          <bgColor theme="1" tint="0.499984740745262"/>
        </patternFill>
      </fill>
    </dxf>
    <dxf>
      <font>
        <color theme="0"/>
      </font>
      <fill>
        <patternFill patternType="lightUp"/>
      </fill>
    </dxf>
    <dxf>
      <font>
        <color auto="1"/>
      </font>
      <fill>
        <patternFill patternType="solid">
          <bgColor theme="1" tint="0.499984740745262"/>
        </patternFill>
      </fill>
    </dxf>
    <dxf>
      <font>
        <color theme="0"/>
      </font>
      <fill>
        <patternFill patternType="lightUp"/>
      </fill>
    </dxf>
    <dxf>
      <font>
        <color auto="1"/>
      </font>
      <fill>
        <patternFill patternType="solid">
          <bgColor theme="1" tint="0.499984740745262"/>
        </patternFill>
      </fill>
    </dxf>
    <dxf>
      <font>
        <color theme="0"/>
      </font>
      <fill>
        <patternFill patternType="lightUp"/>
      </fill>
    </dxf>
    <dxf>
      <font>
        <color auto="1"/>
      </font>
      <fill>
        <patternFill patternType="solid">
          <bgColor theme="1" tint="0.499984740745262"/>
        </patternFill>
      </fill>
    </dxf>
    <dxf>
      <font>
        <color theme="0"/>
      </font>
      <fill>
        <patternFill patternType="lightUp"/>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Team Velocity</a:t>
            </a:r>
            <a:endParaRPr lang="zh-CN"/>
          </a:p>
        </c:rich>
      </c:tx>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barChart>
        <c:barDir val="col"/>
        <c:grouping val="clustered"/>
        <c:varyColors val="0"/>
        <c:ser>
          <c:idx val="0"/>
          <c:order val="0"/>
          <c:spPr>
            <a:pattFill prst="ltUpDiag">
              <a:fgClr>
                <a:schemeClr val="accent1"/>
              </a:fgClr>
              <a:bgClr>
                <a:schemeClr val="lt1"/>
              </a:bgClr>
            </a:pattFill>
            <a:ln>
              <a:noFill/>
            </a:ln>
            <a:effectLst/>
          </c:spPr>
          <c:invertIfNegative val="0"/>
          <c:dPt>
            <c:idx val="0"/>
            <c:invertIfNegative val="0"/>
            <c:bubble3D val="0"/>
          </c:dPt>
          <c:dLbls>
            <c:spPr>
              <a:solidFill>
                <a:srgbClr val="4F81BD">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accent1">
                          <a:lumMod val="60000"/>
                          <a:lumOff val="40000"/>
                        </a:schemeClr>
                      </a:solidFill>
                    </a:ln>
                    <a:effectLst/>
                  </c:spPr>
                </c15:leaderLines>
              </c:ext>
            </c:extLst>
          </c:dLbls>
          <c:cat>
            <c:strRef>
              <c:f>Chart!$A$2:$A$15</c:f>
              <c:strCache>
                <c:ptCount val="14"/>
                <c:pt idx="0">
                  <c:v>Sprint 1</c:v>
                </c:pt>
                <c:pt idx="1">
                  <c:v>Sprint 2</c:v>
                </c:pt>
                <c:pt idx="2">
                  <c:v>Sprint 3</c:v>
                </c:pt>
                <c:pt idx="3">
                  <c:v>Sprint 4</c:v>
                </c:pt>
                <c:pt idx="4">
                  <c:v>Sprint 5</c:v>
                </c:pt>
                <c:pt idx="5">
                  <c:v>Sprint 6</c:v>
                </c:pt>
                <c:pt idx="6">
                  <c:v>Sprint 7</c:v>
                </c:pt>
                <c:pt idx="7">
                  <c:v>Sprint 8</c:v>
                </c:pt>
                <c:pt idx="8">
                  <c:v>Sprint 9</c:v>
                </c:pt>
                <c:pt idx="9">
                  <c:v>Sprint 10</c:v>
                </c:pt>
                <c:pt idx="10">
                  <c:v>Sprint 11</c:v>
                </c:pt>
                <c:pt idx="11">
                  <c:v>Sprint 12</c:v>
                </c:pt>
                <c:pt idx="12">
                  <c:v>Sprint 13</c:v>
                </c:pt>
                <c:pt idx="13">
                  <c:v>Sprint 14</c:v>
                </c:pt>
              </c:strCache>
            </c:strRef>
          </c:cat>
          <c:val>
            <c:numRef>
              <c:f>Chart!$B$2:$B$15</c:f>
              <c:numCache>
                <c:formatCode>General</c:formatCode>
                <c:ptCount val="14"/>
                <c:pt idx="0">
                  <c:v>31</c:v>
                </c:pt>
                <c:pt idx="1">
                  <c:v>14</c:v>
                </c:pt>
                <c:pt idx="2">
                  <c:v>28</c:v>
                </c:pt>
                <c:pt idx="3">
                  <c:v>14</c:v>
                </c:pt>
                <c:pt idx="4">
                  <c:v>33</c:v>
                </c:pt>
                <c:pt idx="5">
                  <c:v>4</c:v>
                </c:pt>
              </c:numCache>
            </c:numRef>
          </c:val>
          <c:extLst/>
        </c:ser>
        <c:dLbls>
          <c:showLegendKey val="0"/>
          <c:showVal val="0"/>
          <c:showCatName val="0"/>
          <c:showSerName val="0"/>
          <c:showPercent val="0"/>
          <c:showBubbleSize val="0"/>
        </c:dLbls>
        <c:gapWidth val="269"/>
        <c:overlap val="-20"/>
        <c:axId val="447315328"/>
        <c:axId val="447319248"/>
      </c:barChart>
      <c:catAx>
        <c:axId val="447315328"/>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3175" cap="flat" cmpd="sng" algn="ctr">
            <a:solidFill>
              <a:schemeClr val="accent1">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zh-CN"/>
          </a:p>
        </c:txPr>
        <c:crossAx val="447319248"/>
        <c:crosses val="autoZero"/>
        <c:auto val="1"/>
        <c:lblAlgn val="ctr"/>
        <c:lblOffset val="100"/>
        <c:noMultiLvlLbl val="0"/>
      </c:catAx>
      <c:valAx>
        <c:axId val="447319248"/>
        <c:scaling>
          <c:orientation val="minMax"/>
          <c:max val="6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447315328"/>
        <c:crosses val="autoZero"/>
        <c:crossBetween val="between"/>
      </c:valAx>
      <c:spPr>
        <a:noFill/>
        <a:ln>
          <a:noFill/>
        </a:ln>
        <a:effectLst/>
      </c:spPr>
    </c:plotArea>
    <c:plotVisOnly val="1"/>
    <c:dispBlanksAs val="gap"/>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BURNUP</a:t>
            </a:r>
            <a:r>
              <a:rPr lang="en-US" altLang="zh-CN" baseline="0"/>
              <a:t> CHART</a:t>
            </a:r>
            <a:endParaRPr lang="zh-CN" alt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2"/>
          <c:order val="1"/>
          <c:tx>
            <c:strRef>
              <c:f>Chart!$D$1</c:f>
              <c:strCache>
                <c:ptCount val="1"/>
                <c:pt idx="0">
                  <c:v>Finished SP</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3"/>
                </a:solidFill>
                <a:prstDash val="sysDot"/>
              </a:ln>
              <a:effectLst/>
            </c:spPr>
            <c:trendlineType val="linear"/>
            <c:dispRSqr val="0"/>
            <c:dispEq val="0"/>
          </c:trendline>
          <c:val>
            <c:numRef>
              <c:f>Chart!$D$2:$D$15</c:f>
              <c:numCache>
                <c:formatCode>General</c:formatCode>
                <c:ptCount val="14"/>
                <c:pt idx="0">
                  <c:v>31</c:v>
                </c:pt>
                <c:pt idx="1">
                  <c:v>45</c:v>
                </c:pt>
                <c:pt idx="2">
                  <c:v>73</c:v>
                </c:pt>
                <c:pt idx="3">
                  <c:v>87</c:v>
                </c:pt>
                <c:pt idx="4">
                  <c:v>120</c:v>
                </c:pt>
                <c:pt idx="5">
                  <c:v>124</c:v>
                </c:pt>
              </c:numCache>
            </c:numRef>
          </c:val>
          <c:extLst/>
        </c:ser>
        <c:dLbls>
          <c:showLegendKey val="0"/>
          <c:showVal val="0"/>
          <c:showCatName val="0"/>
          <c:showSerName val="0"/>
          <c:showPercent val="0"/>
          <c:showBubbleSize val="0"/>
        </c:dLbls>
        <c:gapWidth val="219"/>
        <c:axId val="447317568"/>
        <c:axId val="447322048"/>
      </c:barChart>
      <c:lineChart>
        <c:grouping val="standard"/>
        <c:varyColors val="0"/>
        <c:ser>
          <c:idx val="1"/>
          <c:order val="0"/>
          <c:tx>
            <c:strRef>
              <c:f>Chart!$C$1</c:f>
              <c:strCache>
                <c:ptCount val="1"/>
                <c:pt idx="0">
                  <c:v>Total SP</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Chart!$C$2:$C$15</c:f>
              <c:numCache>
                <c:formatCode>General</c:formatCode>
                <c:ptCount val="14"/>
                <c:pt idx="0">
                  <c:v>133</c:v>
                </c:pt>
                <c:pt idx="1">
                  <c:v>133</c:v>
                </c:pt>
                <c:pt idx="2">
                  <c:v>181</c:v>
                </c:pt>
                <c:pt idx="3">
                  <c:v>181</c:v>
                </c:pt>
                <c:pt idx="4">
                  <c:v>181</c:v>
                </c:pt>
                <c:pt idx="5">
                  <c:v>181</c:v>
                </c:pt>
                <c:pt idx="6">
                  <c:v>202</c:v>
                </c:pt>
                <c:pt idx="7">
                  <c:v>202</c:v>
                </c:pt>
                <c:pt idx="8">
                  <c:v>202</c:v>
                </c:pt>
                <c:pt idx="9">
                  <c:v>202</c:v>
                </c:pt>
                <c:pt idx="10">
                  <c:v>202</c:v>
                </c:pt>
                <c:pt idx="11">
                  <c:v>202</c:v>
                </c:pt>
                <c:pt idx="12">
                  <c:v>202</c:v>
                </c:pt>
                <c:pt idx="13">
                  <c:v>202</c:v>
                </c:pt>
              </c:numCache>
            </c:numRef>
          </c:val>
          <c:smooth val="0"/>
          <c:extLst/>
        </c:ser>
        <c:dLbls>
          <c:showLegendKey val="0"/>
          <c:showVal val="0"/>
          <c:showCatName val="0"/>
          <c:showSerName val="0"/>
          <c:showPercent val="0"/>
          <c:showBubbleSize val="0"/>
        </c:dLbls>
        <c:marker val="1"/>
        <c:smooth val="0"/>
        <c:axId val="447317568"/>
        <c:axId val="447322048"/>
      </c:lineChart>
      <c:catAx>
        <c:axId val="44731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47322048"/>
        <c:crosses val="autoZero"/>
        <c:auto val="1"/>
        <c:lblAlgn val="ctr"/>
        <c:lblOffset val="100"/>
        <c:noMultiLvlLbl val="0"/>
      </c:catAx>
      <c:valAx>
        <c:axId val="447322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473175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solidFill>
                <a:latin typeface="GE Inspira Pitch" panose="020F0603030400020203" pitchFamily="34" charset="0"/>
                <a:ea typeface="+mn-ea"/>
                <a:cs typeface="+mn-cs"/>
              </a:defRPr>
            </a:pPr>
            <a:r>
              <a:rPr lang="en-US" altLang="zh-CN" sz="1600" b="1">
                <a:solidFill>
                  <a:schemeClr val="tx1"/>
                </a:solidFill>
                <a:latin typeface="GE Inspira Pitch" panose="020F0603030400020203" pitchFamily="34" charset="0"/>
              </a:rPr>
              <a:t>Burn Down Chart</a:t>
            </a:r>
            <a:endParaRPr lang="zh-CN" altLang="en-US" sz="1600" b="1">
              <a:solidFill>
                <a:schemeClr val="tx1"/>
              </a:solidFill>
              <a:latin typeface="GE Inspira Pitch" panose="020F0603030400020203" pitchFamily="34" charset="0"/>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GE Inspira Pitch" panose="020F0603030400020203" pitchFamily="34" charset="0"/>
              <a:ea typeface="+mn-ea"/>
              <a:cs typeface="+mn-cs"/>
            </a:defRPr>
          </a:pPr>
          <a:endParaRPr lang="zh-CN"/>
        </a:p>
      </c:txPr>
    </c:title>
    <c:autoTitleDeleted val="0"/>
    <c:plotArea>
      <c:layout/>
      <c:lineChart>
        <c:grouping val="standard"/>
        <c:varyColors val="0"/>
        <c:ser>
          <c:idx val="0"/>
          <c:order val="0"/>
          <c:spPr>
            <a:ln w="28575" cap="rnd">
              <a:solidFill>
                <a:srgbClr val="FFC000"/>
              </a:solidFill>
              <a:round/>
            </a:ln>
            <a:effectLst/>
          </c:spPr>
          <c:marker>
            <c:symbol val="diamond"/>
            <c:size val="6"/>
            <c:spPr>
              <a:solidFill>
                <a:schemeClr val="accent1"/>
              </a:solidFill>
              <a:ln w="9525">
                <a:solidFill>
                  <a:srgbClr val="FFC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'SP2 Burn Down'!$A$1:$A$6</c:f>
              <c:strCache>
                <c:ptCount val="6"/>
                <c:pt idx="0">
                  <c:v>Day 0</c:v>
                </c:pt>
                <c:pt idx="1">
                  <c:v>Day 1</c:v>
                </c:pt>
                <c:pt idx="2">
                  <c:v>Day 2</c:v>
                </c:pt>
                <c:pt idx="3">
                  <c:v>Day 3</c:v>
                </c:pt>
                <c:pt idx="4">
                  <c:v>Day 4</c:v>
                </c:pt>
                <c:pt idx="5">
                  <c:v>Day 5</c:v>
                </c:pt>
              </c:strCache>
            </c:strRef>
          </c:cat>
          <c:val>
            <c:numRef>
              <c:f>'SP2 Burn Down'!$B$1:$B$6</c:f>
              <c:numCache>
                <c:formatCode>General</c:formatCode>
                <c:ptCount val="6"/>
                <c:pt idx="0">
                  <c:v>30</c:v>
                </c:pt>
                <c:pt idx="1">
                  <c:v>29</c:v>
                </c:pt>
                <c:pt idx="2">
                  <c:v>21</c:v>
                </c:pt>
                <c:pt idx="3">
                  <c:v>16</c:v>
                </c:pt>
                <c:pt idx="4">
                  <c:v>16</c:v>
                </c:pt>
                <c:pt idx="5">
                  <c:v>16</c:v>
                </c:pt>
              </c:numCache>
            </c:numRef>
          </c:val>
          <c:smooth val="0"/>
        </c:ser>
        <c:ser>
          <c:idx val="1"/>
          <c:order val="1"/>
          <c:spPr>
            <a:ln w="12700" cap="rnd">
              <a:solidFill>
                <a:schemeClr val="bg1">
                  <a:lumMod val="50000"/>
                </a:schemeClr>
              </a:solidFill>
              <a:prstDash val="dash"/>
              <a:round/>
            </a:ln>
            <a:effectLst/>
          </c:spPr>
          <c:marker>
            <c:symbol val="none"/>
          </c:marker>
          <c:cat>
            <c:strRef>
              <c:f>'SP2 Burn Down'!$A$1:$A$6</c:f>
              <c:strCache>
                <c:ptCount val="6"/>
                <c:pt idx="0">
                  <c:v>Day 0</c:v>
                </c:pt>
                <c:pt idx="1">
                  <c:v>Day 1</c:v>
                </c:pt>
                <c:pt idx="2">
                  <c:v>Day 2</c:v>
                </c:pt>
                <c:pt idx="3">
                  <c:v>Day 3</c:v>
                </c:pt>
                <c:pt idx="4">
                  <c:v>Day 4</c:v>
                </c:pt>
                <c:pt idx="5">
                  <c:v>Day 5</c:v>
                </c:pt>
              </c:strCache>
            </c:strRef>
          </c:cat>
          <c:val>
            <c:numRef>
              <c:f>'SP2 Burn Down'!$C$1:$C$6</c:f>
              <c:numCache>
                <c:formatCode>General</c:formatCode>
                <c:ptCount val="6"/>
                <c:pt idx="0">
                  <c:v>30</c:v>
                </c:pt>
                <c:pt idx="1">
                  <c:v>24</c:v>
                </c:pt>
                <c:pt idx="2">
                  <c:v>18</c:v>
                </c:pt>
                <c:pt idx="3">
                  <c:v>12</c:v>
                </c:pt>
                <c:pt idx="4">
                  <c:v>6</c:v>
                </c:pt>
                <c:pt idx="5">
                  <c:v>0</c:v>
                </c:pt>
              </c:numCache>
            </c:numRef>
          </c:val>
          <c:smooth val="0"/>
        </c:ser>
        <c:dLbls>
          <c:showLegendKey val="0"/>
          <c:showVal val="0"/>
          <c:showCatName val="0"/>
          <c:showSerName val="0"/>
          <c:showPercent val="0"/>
          <c:showBubbleSize val="0"/>
        </c:dLbls>
        <c:marker val="1"/>
        <c:smooth val="0"/>
        <c:axId val="447930064"/>
        <c:axId val="447931184"/>
      </c:lineChart>
      <c:catAx>
        <c:axId val="447930064"/>
        <c:scaling>
          <c:orientation val="minMax"/>
        </c:scaling>
        <c:delete val="0"/>
        <c:axPos val="b"/>
        <c:numFmt formatCode="General" sourceLinked="1"/>
        <c:majorTickMark val="none"/>
        <c:minorTickMark val="none"/>
        <c:tickLblPos val="nextTo"/>
        <c:spPr>
          <a:noFill/>
          <a:ln w="19050" cap="flat" cmpd="sng" algn="ctr">
            <a:solidFill>
              <a:schemeClr val="tx1"/>
            </a:solidFill>
            <a:round/>
            <a:headEnd type="none"/>
            <a:tailEnd type="arrow"/>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47931184"/>
        <c:crosses val="autoZero"/>
        <c:auto val="1"/>
        <c:lblAlgn val="ctr"/>
        <c:lblOffset val="100"/>
        <c:noMultiLvlLbl val="0"/>
      </c:catAx>
      <c:valAx>
        <c:axId val="4479311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9050">
            <a:solidFill>
              <a:schemeClr val="tx1"/>
            </a:solidFill>
            <a:tailEnd type="triangle"/>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47930064"/>
        <c:crossesAt val="1"/>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solidFill>
                <a:latin typeface="GE Inspira Pitch" panose="020F0603030400020203" pitchFamily="34" charset="0"/>
                <a:ea typeface="+mn-ea"/>
                <a:cs typeface="+mn-cs"/>
              </a:defRPr>
            </a:pPr>
            <a:r>
              <a:rPr lang="en-US" altLang="zh-CN" sz="1600" b="1">
                <a:solidFill>
                  <a:schemeClr val="tx1"/>
                </a:solidFill>
                <a:latin typeface="GE Inspira Pitch" panose="020F0603030400020203" pitchFamily="34" charset="0"/>
              </a:rPr>
              <a:t>Burn Down Chart</a:t>
            </a:r>
            <a:endParaRPr lang="zh-CN" altLang="en-US" sz="1600" b="1">
              <a:solidFill>
                <a:schemeClr val="tx1"/>
              </a:solidFill>
              <a:latin typeface="GE Inspira Pitch" panose="020F0603030400020203" pitchFamily="34" charset="0"/>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GE Inspira Pitch" panose="020F0603030400020203" pitchFamily="34" charset="0"/>
              <a:ea typeface="+mn-ea"/>
              <a:cs typeface="+mn-cs"/>
            </a:defRPr>
          </a:pPr>
          <a:endParaRPr lang="zh-CN"/>
        </a:p>
      </c:txPr>
    </c:title>
    <c:autoTitleDeleted val="0"/>
    <c:plotArea>
      <c:layout/>
      <c:lineChart>
        <c:grouping val="standard"/>
        <c:varyColors val="0"/>
        <c:ser>
          <c:idx val="0"/>
          <c:order val="0"/>
          <c:spPr>
            <a:ln w="28575" cap="rnd">
              <a:solidFill>
                <a:srgbClr val="FFC000"/>
              </a:solidFill>
              <a:round/>
            </a:ln>
            <a:effectLst/>
          </c:spPr>
          <c:marker>
            <c:symbol val="diamond"/>
            <c:size val="6"/>
            <c:spPr>
              <a:solidFill>
                <a:schemeClr val="accent1"/>
              </a:solidFill>
              <a:ln w="9525">
                <a:solidFill>
                  <a:srgbClr val="FFC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'SP3 Burn Down'!$A$1:$A$6</c:f>
              <c:strCache>
                <c:ptCount val="6"/>
                <c:pt idx="0">
                  <c:v>Day 0</c:v>
                </c:pt>
                <c:pt idx="1">
                  <c:v>Day 1</c:v>
                </c:pt>
                <c:pt idx="2">
                  <c:v>Day 2</c:v>
                </c:pt>
                <c:pt idx="3">
                  <c:v>Day 3</c:v>
                </c:pt>
                <c:pt idx="4">
                  <c:v>Day 4</c:v>
                </c:pt>
                <c:pt idx="5">
                  <c:v>Day 5</c:v>
                </c:pt>
              </c:strCache>
            </c:strRef>
          </c:cat>
          <c:val>
            <c:numRef>
              <c:f>'SP3 Burn Down'!$B$1:$B$6</c:f>
              <c:numCache>
                <c:formatCode>General</c:formatCode>
                <c:ptCount val="6"/>
                <c:pt idx="0">
                  <c:v>28</c:v>
                </c:pt>
                <c:pt idx="1">
                  <c:v>25</c:v>
                </c:pt>
                <c:pt idx="2">
                  <c:v>19</c:v>
                </c:pt>
                <c:pt idx="3">
                  <c:v>11</c:v>
                </c:pt>
                <c:pt idx="4">
                  <c:v>5</c:v>
                </c:pt>
                <c:pt idx="5">
                  <c:v>0</c:v>
                </c:pt>
              </c:numCache>
            </c:numRef>
          </c:val>
          <c:smooth val="0"/>
        </c:ser>
        <c:ser>
          <c:idx val="1"/>
          <c:order val="1"/>
          <c:spPr>
            <a:ln w="12700" cap="rnd">
              <a:solidFill>
                <a:schemeClr val="bg1">
                  <a:lumMod val="50000"/>
                </a:schemeClr>
              </a:solidFill>
              <a:prstDash val="dash"/>
              <a:round/>
            </a:ln>
            <a:effectLst/>
          </c:spPr>
          <c:marker>
            <c:symbol val="none"/>
          </c:marker>
          <c:cat>
            <c:strRef>
              <c:f>'SP3 Burn Down'!$A$1:$A$6</c:f>
              <c:strCache>
                <c:ptCount val="6"/>
                <c:pt idx="0">
                  <c:v>Day 0</c:v>
                </c:pt>
                <c:pt idx="1">
                  <c:v>Day 1</c:v>
                </c:pt>
                <c:pt idx="2">
                  <c:v>Day 2</c:v>
                </c:pt>
                <c:pt idx="3">
                  <c:v>Day 3</c:v>
                </c:pt>
                <c:pt idx="4">
                  <c:v>Day 4</c:v>
                </c:pt>
                <c:pt idx="5">
                  <c:v>Day 5</c:v>
                </c:pt>
              </c:strCache>
            </c:strRef>
          </c:cat>
          <c:val>
            <c:numRef>
              <c:f>'SP3 Burn Down'!$C$1:$C$6</c:f>
              <c:numCache>
                <c:formatCode>General</c:formatCode>
                <c:ptCount val="6"/>
                <c:pt idx="0">
                  <c:v>28</c:v>
                </c:pt>
                <c:pt idx="1">
                  <c:v>22.4</c:v>
                </c:pt>
                <c:pt idx="2">
                  <c:v>16.8</c:v>
                </c:pt>
                <c:pt idx="3">
                  <c:v>11.2</c:v>
                </c:pt>
                <c:pt idx="4">
                  <c:v>5.6</c:v>
                </c:pt>
                <c:pt idx="5">
                  <c:v>0</c:v>
                </c:pt>
              </c:numCache>
            </c:numRef>
          </c:val>
          <c:smooth val="0"/>
        </c:ser>
        <c:dLbls>
          <c:showLegendKey val="0"/>
          <c:showVal val="0"/>
          <c:showCatName val="0"/>
          <c:showSerName val="0"/>
          <c:showPercent val="0"/>
          <c:showBubbleSize val="0"/>
        </c:dLbls>
        <c:marker val="1"/>
        <c:smooth val="0"/>
        <c:axId val="447928384"/>
        <c:axId val="447932304"/>
      </c:lineChart>
      <c:catAx>
        <c:axId val="447928384"/>
        <c:scaling>
          <c:orientation val="minMax"/>
        </c:scaling>
        <c:delete val="0"/>
        <c:axPos val="b"/>
        <c:numFmt formatCode="General" sourceLinked="1"/>
        <c:majorTickMark val="none"/>
        <c:minorTickMark val="none"/>
        <c:tickLblPos val="nextTo"/>
        <c:spPr>
          <a:noFill/>
          <a:ln w="19050" cap="flat" cmpd="sng" algn="ctr">
            <a:solidFill>
              <a:schemeClr val="tx1"/>
            </a:solidFill>
            <a:round/>
            <a:headEnd type="none"/>
            <a:tailEnd type="arrow"/>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47932304"/>
        <c:crosses val="autoZero"/>
        <c:auto val="1"/>
        <c:lblAlgn val="ctr"/>
        <c:lblOffset val="100"/>
        <c:noMultiLvlLbl val="0"/>
      </c:catAx>
      <c:valAx>
        <c:axId val="447932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9050">
            <a:solidFill>
              <a:schemeClr val="tx1"/>
            </a:solidFill>
            <a:tailEnd type="triangle"/>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47928384"/>
        <c:crossesAt val="1"/>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solidFill>
                <a:latin typeface="GE Inspira Pitch" panose="020F0603030400020203" pitchFamily="34" charset="0"/>
                <a:ea typeface="+mn-ea"/>
                <a:cs typeface="+mn-cs"/>
              </a:defRPr>
            </a:pPr>
            <a:r>
              <a:rPr lang="en-US" altLang="zh-CN" sz="1600" b="1">
                <a:solidFill>
                  <a:schemeClr val="tx1"/>
                </a:solidFill>
                <a:latin typeface="GE Inspira Pitch" panose="020F0603030400020203" pitchFamily="34" charset="0"/>
              </a:rPr>
              <a:t>Burn Down Chart</a:t>
            </a:r>
            <a:endParaRPr lang="zh-CN" altLang="en-US" sz="1600" b="1">
              <a:solidFill>
                <a:schemeClr val="tx1"/>
              </a:solidFill>
              <a:latin typeface="GE Inspira Pitch" panose="020F0603030400020203" pitchFamily="34" charset="0"/>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GE Inspira Pitch" panose="020F0603030400020203" pitchFamily="34" charset="0"/>
              <a:ea typeface="+mn-ea"/>
              <a:cs typeface="+mn-cs"/>
            </a:defRPr>
          </a:pPr>
          <a:endParaRPr lang="zh-CN"/>
        </a:p>
      </c:txPr>
    </c:title>
    <c:autoTitleDeleted val="0"/>
    <c:plotArea>
      <c:layout/>
      <c:lineChart>
        <c:grouping val="standard"/>
        <c:varyColors val="0"/>
        <c:ser>
          <c:idx val="0"/>
          <c:order val="0"/>
          <c:spPr>
            <a:ln w="28575" cap="rnd">
              <a:solidFill>
                <a:srgbClr val="FFC000"/>
              </a:solidFill>
              <a:round/>
            </a:ln>
            <a:effectLst/>
          </c:spPr>
          <c:marker>
            <c:symbol val="diamond"/>
            <c:size val="6"/>
            <c:spPr>
              <a:solidFill>
                <a:schemeClr val="accent1"/>
              </a:solidFill>
              <a:ln w="9525">
                <a:solidFill>
                  <a:srgbClr val="FFC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'SP4 Burn Down'!$A$1:$A$6</c:f>
              <c:strCache>
                <c:ptCount val="6"/>
                <c:pt idx="0">
                  <c:v>Day 0</c:v>
                </c:pt>
                <c:pt idx="1">
                  <c:v>Day 1</c:v>
                </c:pt>
                <c:pt idx="2">
                  <c:v>Day 2</c:v>
                </c:pt>
                <c:pt idx="3">
                  <c:v>Day 3</c:v>
                </c:pt>
                <c:pt idx="4">
                  <c:v>Day 4</c:v>
                </c:pt>
                <c:pt idx="5">
                  <c:v>Day 5</c:v>
                </c:pt>
              </c:strCache>
            </c:strRef>
          </c:cat>
          <c:val>
            <c:numRef>
              <c:f>'SP4 Burn Down'!$B$1:$B$6</c:f>
              <c:numCache>
                <c:formatCode>General</c:formatCode>
                <c:ptCount val="6"/>
                <c:pt idx="0">
                  <c:v>30</c:v>
                </c:pt>
                <c:pt idx="1">
                  <c:v>30</c:v>
                </c:pt>
                <c:pt idx="2">
                  <c:v>29</c:v>
                </c:pt>
                <c:pt idx="3">
                  <c:v>16</c:v>
                </c:pt>
                <c:pt idx="4">
                  <c:v>16</c:v>
                </c:pt>
                <c:pt idx="5">
                  <c:v>16</c:v>
                </c:pt>
              </c:numCache>
            </c:numRef>
          </c:val>
          <c:smooth val="0"/>
        </c:ser>
        <c:ser>
          <c:idx val="1"/>
          <c:order val="1"/>
          <c:spPr>
            <a:ln w="12700" cap="rnd">
              <a:solidFill>
                <a:schemeClr val="bg1">
                  <a:lumMod val="50000"/>
                </a:schemeClr>
              </a:solidFill>
              <a:prstDash val="dash"/>
              <a:round/>
            </a:ln>
            <a:effectLst/>
          </c:spPr>
          <c:marker>
            <c:symbol val="none"/>
          </c:marker>
          <c:cat>
            <c:strRef>
              <c:f>'SP4 Burn Down'!$A$1:$A$6</c:f>
              <c:strCache>
                <c:ptCount val="6"/>
                <c:pt idx="0">
                  <c:v>Day 0</c:v>
                </c:pt>
                <c:pt idx="1">
                  <c:v>Day 1</c:v>
                </c:pt>
                <c:pt idx="2">
                  <c:v>Day 2</c:v>
                </c:pt>
                <c:pt idx="3">
                  <c:v>Day 3</c:v>
                </c:pt>
                <c:pt idx="4">
                  <c:v>Day 4</c:v>
                </c:pt>
                <c:pt idx="5">
                  <c:v>Day 5</c:v>
                </c:pt>
              </c:strCache>
            </c:strRef>
          </c:cat>
          <c:val>
            <c:numRef>
              <c:f>'SP4 Burn Down'!$C$1:$C$6</c:f>
              <c:numCache>
                <c:formatCode>General</c:formatCode>
                <c:ptCount val="6"/>
                <c:pt idx="0">
                  <c:v>30</c:v>
                </c:pt>
                <c:pt idx="1">
                  <c:v>24</c:v>
                </c:pt>
                <c:pt idx="2">
                  <c:v>18</c:v>
                </c:pt>
                <c:pt idx="3">
                  <c:v>12</c:v>
                </c:pt>
                <c:pt idx="4">
                  <c:v>6</c:v>
                </c:pt>
                <c:pt idx="5">
                  <c:v>0</c:v>
                </c:pt>
              </c:numCache>
            </c:numRef>
          </c:val>
          <c:smooth val="0"/>
        </c:ser>
        <c:dLbls>
          <c:showLegendKey val="0"/>
          <c:showVal val="0"/>
          <c:showCatName val="0"/>
          <c:showSerName val="0"/>
          <c:showPercent val="0"/>
          <c:showBubbleSize val="0"/>
        </c:dLbls>
        <c:marker val="1"/>
        <c:smooth val="0"/>
        <c:axId val="381825264"/>
        <c:axId val="381825824"/>
      </c:lineChart>
      <c:catAx>
        <c:axId val="381825264"/>
        <c:scaling>
          <c:orientation val="minMax"/>
        </c:scaling>
        <c:delete val="0"/>
        <c:axPos val="b"/>
        <c:numFmt formatCode="General" sourceLinked="1"/>
        <c:majorTickMark val="none"/>
        <c:minorTickMark val="none"/>
        <c:tickLblPos val="nextTo"/>
        <c:spPr>
          <a:noFill/>
          <a:ln w="19050" cap="flat" cmpd="sng" algn="ctr">
            <a:solidFill>
              <a:schemeClr val="tx1"/>
            </a:solidFill>
            <a:round/>
            <a:headEnd type="none"/>
            <a:tailEnd type="arrow"/>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81825824"/>
        <c:crosses val="autoZero"/>
        <c:auto val="1"/>
        <c:lblAlgn val="ctr"/>
        <c:lblOffset val="100"/>
        <c:noMultiLvlLbl val="0"/>
      </c:catAx>
      <c:valAx>
        <c:axId val="381825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9050">
            <a:solidFill>
              <a:schemeClr val="tx1"/>
            </a:solidFill>
            <a:tailEnd type="triangle"/>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81825264"/>
        <c:crossesAt val="1"/>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solidFill>
                <a:latin typeface="GE Inspira Pitch" panose="020F0603030400020203" pitchFamily="34" charset="0"/>
                <a:ea typeface="+mn-ea"/>
                <a:cs typeface="+mn-cs"/>
              </a:defRPr>
            </a:pPr>
            <a:r>
              <a:rPr lang="en-US" altLang="zh-CN" sz="1600" b="1">
                <a:solidFill>
                  <a:schemeClr val="tx1"/>
                </a:solidFill>
                <a:latin typeface="GE Inspira Pitch" panose="020F0603030400020203" pitchFamily="34" charset="0"/>
              </a:rPr>
              <a:t>Burn Down Chart</a:t>
            </a:r>
            <a:endParaRPr lang="zh-CN" altLang="en-US" sz="1600" b="1">
              <a:solidFill>
                <a:schemeClr val="tx1"/>
              </a:solidFill>
              <a:latin typeface="GE Inspira Pitch" panose="020F0603030400020203" pitchFamily="34" charset="0"/>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GE Inspira Pitch" panose="020F0603030400020203" pitchFamily="34" charset="0"/>
              <a:ea typeface="+mn-ea"/>
              <a:cs typeface="+mn-cs"/>
            </a:defRPr>
          </a:pPr>
          <a:endParaRPr lang="zh-CN"/>
        </a:p>
      </c:txPr>
    </c:title>
    <c:autoTitleDeleted val="0"/>
    <c:plotArea>
      <c:layout/>
      <c:lineChart>
        <c:grouping val="standard"/>
        <c:varyColors val="0"/>
        <c:ser>
          <c:idx val="0"/>
          <c:order val="0"/>
          <c:spPr>
            <a:ln w="28575" cap="rnd">
              <a:solidFill>
                <a:srgbClr val="FFC000"/>
              </a:solidFill>
              <a:round/>
            </a:ln>
            <a:effectLst/>
          </c:spPr>
          <c:marker>
            <c:symbol val="diamond"/>
            <c:size val="6"/>
            <c:spPr>
              <a:solidFill>
                <a:schemeClr val="accent1"/>
              </a:solidFill>
              <a:ln w="9525">
                <a:solidFill>
                  <a:srgbClr val="FFC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'SP5 Burn Down'!$A$1:$A$6</c:f>
              <c:strCache>
                <c:ptCount val="6"/>
                <c:pt idx="0">
                  <c:v>Day 0</c:v>
                </c:pt>
                <c:pt idx="1">
                  <c:v>Day 1</c:v>
                </c:pt>
                <c:pt idx="2">
                  <c:v>Day 2</c:v>
                </c:pt>
                <c:pt idx="3">
                  <c:v>Day 3</c:v>
                </c:pt>
                <c:pt idx="4">
                  <c:v>Day 4</c:v>
                </c:pt>
                <c:pt idx="5">
                  <c:v>Day 5</c:v>
                </c:pt>
              </c:strCache>
            </c:strRef>
          </c:cat>
          <c:val>
            <c:numRef>
              <c:f>'SP5 Burn Down'!$B$1:$B$6</c:f>
              <c:numCache>
                <c:formatCode>General</c:formatCode>
                <c:ptCount val="6"/>
                <c:pt idx="0">
                  <c:v>28</c:v>
                </c:pt>
                <c:pt idx="1">
                  <c:v>18</c:v>
                </c:pt>
                <c:pt idx="2">
                  <c:v>8</c:v>
                </c:pt>
                <c:pt idx="3">
                  <c:v>10</c:v>
                </c:pt>
                <c:pt idx="4">
                  <c:v>5</c:v>
                </c:pt>
                <c:pt idx="5">
                  <c:v>0</c:v>
                </c:pt>
              </c:numCache>
            </c:numRef>
          </c:val>
          <c:smooth val="0"/>
        </c:ser>
        <c:ser>
          <c:idx val="1"/>
          <c:order val="1"/>
          <c:spPr>
            <a:ln w="12700" cap="rnd">
              <a:solidFill>
                <a:schemeClr val="bg1">
                  <a:lumMod val="50000"/>
                </a:schemeClr>
              </a:solidFill>
              <a:prstDash val="dash"/>
              <a:round/>
            </a:ln>
            <a:effectLst/>
          </c:spPr>
          <c:marker>
            <c:symbol val="none"/>
          </c:marker>
          <c:cat>
            <c:strRef>
              <c:f>'SP5 Burn Down'!$A$1:$A$6</c:f>
              <c:strCache>
                <c:ptCount val="6"/>
                <c:pt idx="0">
                  <c:v>Day 0</c:v>
                </c:pt>
                <c:pt idx="1">
                  <c:v>Day 1</c:v>
                </c:pt>
                <c:pt idx="2">
                  <c:v>Day 2</c:v>
                </c:pt>
                <c:pt idx="3">
                  <c:v>Day 3</c:v>
                </c:pt>
                <c:pt idx="4">
                  <c:v>Day 4</c:v>
                </c:pt>
                <c:pt idx="5">
                  <c:v>Day 5</c:v>
                </c:pt>
              </c:strCache>
            </c:strRef>
          </c:cat>
          <c:val>
            <c:numRef>
              <c:f>'SP5 Burn Down'!$C$1:$C$6</c:f>
              <c:numCache>
                <c:formatCode>General</c:formatCode>
                <c:ptCount val="6"/>
                <c:pt idx="0">
                  <c:v>28</c:v>
                </c:pt>
                <c:pt idx="1">
                  <c:v>22.4</c:v>
                </c:pt>
                <c:pt idx="2">
                  <c:v>16.8</c:v>
                </c:pt>
                <c:pt idx="3">
                  <c:v>11.2</c:v>
                </c:pt>
                <c:pt idx="4">
                  <c:v>5.6</c:v>
                </c:pt>
                <c:pt idx="5">
                  <c:v>0</c:v>
                </c:pt>
              </c:numCache>
            </c:numRef>
          </c:val>
          <c:smooth val="0"/>
        </c:ser>
        <c:dLbls>
          <c:showLegendKey val="0"/>
          <c:showVal val="0"/>
          <c:showCatName val="0"/>
          <c:showSerName val="0"/>
          <c:showPercent val="0"/>
          <c:showBubbleSize val="0"/>
        </c:dLbls>
        <c:marker val="1"/>
        <c:smooth val="0"/>
        <c:axId val="248118752"/>
        <c:axId val="248117632"/>
      </c:lineChart>
      <c:catAx>
        <c:axId val="248118752"/>
        <c:scaling>
          <c:orientation val="minMax"/>
        </c:scaling>
        <c:delete val="0"/>
        <c:axPos val="b"/>
        <c:numFmt formatCode="General" sourceLinked="1"/>
        <c:majorTickMark val="none"/>
        <c:minorTickMark val="none"/>
        <c:tickLblPos val="nextTo"/>
        <c:spPr>
          <a:noFill/>
          <a:ln w="19050" cap="flat" cmpd="sng" algn="ctr">
            <a:solidFill>
              <a:schemeClr val="tx1"/>
            </a:solidFill>
            <a:round/>
            <a:headEnd type="none"/>
            <a:tailEnd type="arrow"/>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48117632"/>
        <c:crosses val="autoZero"/>
        <c:auto val="1"/>
        <c:lblAlgn val="ctr"/>
        <c:lblOffset val="100"/>
        <c:noMultiLvlLbl val="0"/>
      </c:catAx>
      <c:valAx>
        <c:axId val="2481176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9050">
            <a:solidFill>
              <a:schemeClr val="tx1"/>
            </a:solidFill>
            <a:tailEnd type="triangle"/>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48118752"/>
        <c:crossesAt val="1"/>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solidFill>
                <a:latin typeface="GE Inspira Pitch" panose="020F0603030400020203" pitchFamily="34" charset="0"/>
                <a:ea typeface="+mn-ea"/>
                <a:cs typeface="+mn-cs"/>
              </a:defRPr>
            </a:pPr>
            <a:r>
              <a:rPr lang="en-US" altLang="zh-CN" sz="1600" b="1">
                <a:solidFill>
                  <a:schemeClr val="tx1"/>
                </a:solidFill>
                <a:latin typeface="GE Inspira Pitch" panose="020F0603030400020203" pitchFamily="34" charset="0"/>
              </a:rPr>
              <a:t>Burn Down Chart</a:t>
            </a:r>
            <a:endParaRPr lang="zh-CN" altLang="en-US" sz="1600" b="1">
              <a:solidFill>
                <a:schemeClr val="tx1"/>
              </a:solidFill>
              <a:latin typeface="GE Inspira Pitch" panose="020F0603030400020203" pitchFamily="34" charset="0"/>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GE Inspira Pitch" panose="020F0603030400020203" pitchFamily="34" charset="0"/>
              <a:ea typeface="+mn-ea"/>
              <a:cs typeface="+mn-cs"/>
            </a:defRPr>
          </a:pPr>
          <a:endParaRPr lang="zh-CN"/>
        </a:p>
      </c:txPr>
    </c:title>
    <c:autoTitleDeleted val="0"/>
    <c:plotArea>
      <c:layout/>
      <c:lineChart>
        <c:grouping val="standard"/>
        <c:varyColors val="0"/>
        <c:ser>
          <c:idx val="0"/>
          <c:order val="0"/>
          <c:spPr>
            <a:ln w="28575" cap="rnd">
              <a:solidFill>
                <a:srgbClr val="FFC000"/>
              </a:solidFill>
              <a:round/>
            </a:ln>
            <a:effectLst/>
          </c:spPr>
          <c:marker>
            <c:symbol val="diamond"/>
            <c:size val="6"/>
            <c:spPr>
              <a:solidFill>
                <a:schemeClr val="accent1"/>
              </a:solidFill>
              <a:ln w="9525">
                <a:solidFill>
                  <a:srgbClr val="FFC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'SP6 Burn Down'!$A$1:$A$6</c:f>
              <c:strCache>
                <c:ptCount val="6"/>
                <c:pt idx="0">
                  <c:v>Day 0</c:v>
                </c:pt>
                <c:pt idx="1">
                  <c:v>Day 1</c:v>
                </c:pt>
                <c:pt idx="2">
                  <c:v>Day 2</c:v>
                </c:pt>
                <c:pt idx="3">
                  <c:v>Day 3</c:v>
                </c:pt>
                <c:pt idx="4">
                  <c:v>Day 4</c:v>
                </c:pt>
                <c:pt idx="5">
                  <c:v>Day 5</c:v>
                </c:pt>
              </c:strCache>
            </c:strRef>
          </c:cat>
          <c:val>
            <c:numRef>
              <c:f>'SP6 Burn Down'!$B$1:$B$6</c:f>
              <c:numCache>
                <c:formatCode>General</c:formatCode>
                <c:ptCount val="6"/>
                <c:pt idx="0">
                  <c:v>30</c:v>
                </c:pt>
                <c:pt idx="1">
                  <c:v>29</c:v>
                </c:pt>
                <c:pt idx="2">
                  <c:v>26</c:v>
                </c:pt>
                <c:pt idx="3">
                  <c:v>26</c:v>
                </c:pt>
                <c:pt idx="4">
                  <c:v>26</c:v>
                </c:pt>
                <c:pt idx="5">
                  <c:v>26</c:v>
                </c:pt>
              </c:numCache>
            </c:numRef>
          </c:val>
          <c:smooth val="0"/>
        </c:ser>
        <c:ser>
          <c:idx val="1"/>
          <c:order val="1"/>
          <c:spPr>
            <a:ln w="12700" cap="rnd">
              <a:solidFill>
                <a:schemeClr val="bg1">
                  <a:lumMod val="50000"/>
                </a:schemeClr>
              </a:solidFill>
              <a:prstDash val="dash"/>
              <a:round/>
            </a:ln>
            <a:effectLst/>
          </c:spPr>
          <c:marker>
            <c:symbol val="none"/>
          </c:marker>
          <c:cat>
            <c:strRef>
              <c:f>'SP6 Burn Down'!$A$1:$A$6</c:f>
              <c:strCache>
                <c:ptCount val="6"/>
                <c:pt idx="0">
                  <c:v>Day 0</c:v>
                </c:pt>
                <c:pt idx="1">
                  <c:v>Day 1</c:v>
                </c:pt>
                <c:pt idx="2">
                  <c:v>Day 2</c:v>
                </c:pt>
                <c:pt idx="3">
                  <c:v>Day 3</c:v>
                </c:pt>
                <c:pt idx="4">
                  <c:v>Day 4</c:v>
                </c:pt>
                <c:pt idx="5">
                  <c:v>Day 5</c:v>
                </c:pt>
              </c:strCache>
            </c:strRef>
          </c:cat>
          <c:val>
            <c:numRef>
              <c:f>'SP6 Burn Down'!$C$1:$C$6</c:f>
              <c:numCache>
                <c:formatCode>General</c:formatCode>
                <c:ptCount val="6"/>
                <c:pt idx="0">
                  <c:v>30</c:v>
                </c:pt>
                <c:pt idx="1">
                  <c:v>24</c:v>
                </c:pt>
                <c:pt idx="2">
                  <c:v>18</c:v>
                </c:pt>
                <c:pt idx="3">
                  <c:v>12</c:v>
                </c:pt>
                <c:pt idx="4">
                  <c:v>6</c:v>
                </c:pt>
                <c:pt idx="5">
                  <c:v>0</c:v>
                </c:pt>
              </c:numCache>
            </c:numRef>
          </c:val>
          <c:smooth val="0"/>
        </c:ser>
        <c:dLbls>
          <c:showLegendKey val="0"/>
          <c:showVal val="0"/>
          <c:showCatName val="0"/>
          <c:showSerName val="0"/>
          <c:showPercent val="0"/>
          <c:showBubbleSize val="0"/>
        </c:dLbls>
        <c:marker val="1"/>
        <c:smooth val="0"/>
        <c:axId val="454663520"/>
        <c:axId val="454660160"/>
      </c:lineChart>
      <c:catAx>
        <c:axId val="454663520"/>
        <c:scaling>
          <c:orientation val="minMax"/>
        </c:scaling>
        <c:delete val="0"/>
        <c:axPos val="b"/>
        <c:numFmt formatCode="General" sourceLinked="1"/>
        <c:majorTickMark val="none"/>
        <c:minorTickMark val="none"/>
        <c:tickLblPos val="nextTo"/>
        <c:spPr>
          <a:noFill/>
          <a:ln w="19050" cap="flat" cmpd="sng" algn="ctr">
            <a:solidFill>
              <a:schemeClr val="tx1"/>
            </a:solidFill>
            <a:round/>
            <a:headEnd type="none"/>
            <a:tailEnd type="arrow"/>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54660160"/>
        <c:crosses val="autoZero"/>
        <c:auto val="1"/>
        <c:lblAlgn val="ctr"/>
        <c:lblOffset val="100"/>
        <c:noMultiLvlLbl val="0"/>
      </c:catAx>
      <c:valAx>
        <c:axId val="454660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9050">
            <a:solidFill>
              <a:schemeClr val="tx1"/>
            </a:solidFill>
            <a:tailEnd type="triangle"/>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54663520"/>
        <c:crossesAt val="1"/>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0</xdr:col>
      <xdr:colOff>247649</xdr:colOff>
      <xdr:row>1</xdr:row>
      <xdr:rowOff>95250</xdr:rowOff>
    </xdr:from>
    <xdr:to>
      <xdr:col>10</xdr:col>
      <xdr:colOff>542924</xdr:colOff>
      <xdr:row>30</xdr:row>
      <xdr:rowOff>47625</xdr:rowOff>
    </xdr:to>
    <xdr:sp macro="" textlink="">
      <xdr:nvSpPr>
        <xdr:cNvPr id="2" name="TextBox 1"/>
        <xdr:cNvSpPr txBox="1"/>
      </xdr:nvSpPr>
      <xdr:spPr>
        <a:xfrm>
          <a:off x="247649" y="257175"/>
          <a:ext cx="6391275" cy="4648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sv-SE" sz="1400" b="1"/>
            <a:t>About</a:t>
          </a:r>
          <a:r>
            <a:rPr lang="sv-SE" sz="1400" b="1" baseline="0"/>
            <a:t> this tool</a:t>
          </a:r>
        </a:p>
        <a:p>
          <a:endParaRPr lang="sv-SE" sz="1100" b="1" baseline="0"/>
        </a:p>
        <a:p>
          <a:r>
            <a:rPr lang="sv-SE" sz="1100" b="0" baseline="0"/>
            <a:t>This is a simple &amp; flexible tool for housing a Scrum product backlog. </a:t>
          </a:r>
        </a:p>
        <a:p>
          <a:r>
            <a:rPr lang="sv-SE" sz="1100" b="0" baseline="0"/>
            <a:t>The main feature is that includes a "generate index cards" button.</a:t>
          </a:r>
        </a:p>
        <a:p>
          <a:endParaRPr lang="sv-SE" sz="1100" b="0" baseline="0"/>
        </a:p>
        <a:p>
          <a:r>
            <a:rPr lang="sv-SE" sz="1100" b="0" baseline="0"/>
            <a:t>This tool was created by Stefan Nijenhuis, with minor tweaks by me.</a:t>
          </a:r>
        </a:p>
        <a:p>
          <a:endParaRPr lang="sv-SE" sz="1100" b="0" baseline="0"/>
        </a:p>
        <a:p>
          <a:r>
            <a:rPr lang="sv-SE" sz="1100" b="0" baseline="0"/>
            <a:t>The design of this tool and the index cards is based on my book "Scrum and XP from the Trenches", and the first version of the index card generator on my blog (http://blog.crisp.se/henrikkniberg)</a:t>
          </a:r>
        </a:p>
        <a:p>
          <a:r>
            <a:rPr lang="sv-SE" sz="1100" b="0" baseline="0"/>
            <a:t>To learn more about the intended usage of this tool, see the chapter on product backlogs.</a:t>
          </a:r>
        </a:p>
        <a:p>
          <a:r>
            <a:rPr lang="sv-SE" sz="1100" b="0" baseline="0"/>
            <a:t>http://www.crisp.se/henrik.kniberg/ScrumAndXpFromTheTrenches.html</a:t>
          </a:r>
        </a:p>
        <a:p>
          <a:endParaRPr lang="sv-SE" sz="1100" b="0" baseline="0"/>
        </a:p>
        <a:p>
          <a:r>
            <a:rPr lang="sv-SE" sz="1100" b="0" baseline="0"/>
            <a:t>Feel free to use and modify this tool as you wish. </a:t>
          </a:r>
        </a:p>
        <a:p>
          <a:endParaRPr lang="sv-SE" sz="1100" b="0" baseline="0"/>
        </a:p>
        <a:p>
          <a:r>
            <a:rPr lang="sv-SE" sz="1100" b="1" baseline="0"/>
            <a:t>Worksheets</a:t>
          </a:r>
        </a:p>
        <a:p>
          <a:r>
            <a:rPr lang="sv-SE" sz="1100" b="1" baseline="0"/>
            <a:t>  BACKLOG</a:t>
          </a:r>
          <a:r>
            <a:rPr lang="sv-SE" sz="1100" b="0" baseline="0"/>
            <a:t> = the actual product backlog. Add columns as you like. </a:t>
          </a:r>
        </a:p>
        <a:p>
          <a:r>
            <a:rPr lang="sv-SE" sz="1100" b="1" baseline="0"/>
            <a:t>  CARDS</a:t>
          </a:r>
          <a:r>
            <a:rPr lang="sv-SE" sz="1100" b="0" baseline="0"/>
            <a:t> = index cards appear here when you press "generate index cards" on the BACKLOG worksheet.</a:t>
          </a:r>
        </a:p>
        <a:p>
          <a:r>
            <a:rPr lang="sv-SE" sz="1100" b="1" baseline="0"/>
            <a:t>  TEMPLATE</a:t>
          </a:r>
          <a:r>
            <a:rPr lang="sv-SE" sz="1100" b="0" baseline="0"/>
            <a:t> = play with this to change the appearance of the generated index cards.</a:t>
          </a:r>
        </a:p>
        <a:p>
          <a:endParaRPr lang="sv-SE" sz="1100" b="0" baseline="0"/>
        </a:p>
        <a:p>
          <a:r>
            <a:rPr lang="sv-SE" sz="1100" b="0" baseline="0"/>
            <a:t>If you make any significant improvements or bugfixes (while still keeping it simple) I'd appreciate if you email me at henrik.kniberg @crisp.se so that I can spread it to the community.</a:t>
          </a:r>
        </a:p>
        <a:p>
          <a:endParaRPr lang="sv-SE" sz="1100" b="0" baseline="0"/>
        </a:p>
        <a:p>
          <a:r>
            <a:rPr lang="sv-SE" sz="1100" b="0" baseline="0"/>
            <a:t>Thanks Stefan for implementing this!</a:t>
          </a:r>
        </a:p>
        <a:p>
          <a:endParaRPr lang="sv-SE" sz="1100" b="0" baseline="0"/>
        </a:p>
        <a:p>
          <a:r>
            <a:rPr lang="sv-SE" sz="1100" b="0" baseline="0"/>
            <a:t>/Henrik Kniberg 2007-12-13</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9525</xdr:rowOff>
        </xdr:from>
        <xdr:to>
          <xdr:col>2</xdr:col>
          <xdr:colOff>695325</xdr:colOff>
          <xdr:row>0</xdr:row>
          <xdr:rowOff>219075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Arial"/>
                  <a:cs typeface="Arial"/>
                </a:rPr>
                <a:t>Generate index cards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19049</xdr:colOff>
      <xdr:row>17</xdr:row>
      <xdr:rowOff>104775</xdr:rowOff>
    </xdr:from>
    <xdr:to>
      <xdr:col>14</xdr:col>
      <xdr:colOff>333375</xdr:colOff>
      <xdr:row>31</xdr:row>
      <xdr:rowOff>152400</xdr:rowOff>
    </xdr:to>
    <xdr:graphicFrame macro="">
      <xdr:nvGraphicFramePr>
        <xdr:cNvPr id="2" name="图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428624</xdr:colOff>
      <xdr:row>34</xdr:row>
      <xdr:rowOff>19050</xdr:rowOff>
    </xdr:from>
    <xdr:to>
      <xdr:col>14</xdr:col>
      <xdr:colOff>314325</xdr:colOff>
      <xdr:row>54</xdr:row>
      <xdr:rowOff>0</xdr:rowOff>
    </xdr:to>
    <xdr:graphicFrame macro="">
      <xdr:nvGraphicFramePr>
        <xdr:cNvPr id="3" name="图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19049</xdr:colOff>
      <xdr:row>9</xdr:row>
      <xdr:rowOff>33337</xdr:rowOff>
    </xdr:from>
    <xdr:to>
      <xdr:col>8</xdr:col>
      <xdr:colOff>238124</xdr:colOff>
      <xdr:row>35</xdr:row>
      <xdr:rowOff>28575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19049</xdr:colOff>
      <xdr:row>9</xdr:row>
      <xdr:rowOff>33337</xdr:rowOff>
    </xdr:from>
    <xdr:to>
      <xdr:col>8</xdr:col>
      <xdr:colOff>238124</xdr:colOff>
      <xdr:row>35</xdr:row>
      <xdr:rowOff>28575</xdr:rowOff>
    </xdr:to>
    <xdr:graphicFrame macro="">
      <xdr:nvGraphicFramePr>
        <xdr:cNvPr id="2" name="图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19049</xdr:colOff>
      <xdr:row>9</xdr:row>
      <xdr:rowOff>33337</xdr:rowOff>
    </xdr:from>
    <xdr:to>
      <xdr:col>8</xdr:col>
      <xdr:colOff>238124</xdr:colOff>
      <xdr:row>35</xdr:row>
      <xdr:rowOff>28575</xdr:rowOff>
    </xdr:to>
    <xdr:graphicFrame macro="">
      <xdr:nvGraphicFramePr>
        <xdr:cNvPr id="2" name="图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19049</xdr:colOff>
      <xdr:row>9</xdr:row>
      <xdr:rowOff>33337</xdr:rowOff>
    </xdr:from>
    <xdr:to>
      <xdr:col>8</xdr:col>
      <xdr:colOff>238124</xdr:colOff>
      <xdr:row>35</xdr:row>
      <xdr:rowOff>28575</xdr:rowOff>
    </xdr:to>
    <xdr:graphicFrame macro="">
      <xdr:nvGraphicFramePr>
        <xdr:cNvPr id="2" name="图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19049</xdr:colOff>
      <xdr:row>9</xdr:row>
      <xdr:rowOff>33337</xdr:rowOff>
    </xdr:from>
    <xdr:to>
      <xdr:col>8</xdr:col>
      <xdr:colOff>238124</xdr:colOff>
      <xdr:row>35</xdr:row>
      <xdr:rowOff>28575</xdr:rowOff>
    </xdr:to>
    <xdr:graphicFrame macro="">
      <xdr:nvGraphicFramePr>
        <xdr:cNvPr id="2" name="图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
  <sheetViews>
    <sheetView workbookViewId="0">
      <selection activeCell="M23" sqref="M23"/>
    </sheetView>
  </sheetViews>
  <sheetFormatPr defaultColWidth="9.140625" defaultRowHeight="12.75" x14ac:dyDescent="0.2"/>
  <sheetData/>
  <phoneticPr fontId="0" type="noConversion"/>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8"/>
  <sheetViews>
    <sheetView zoomScale="80" zoomScaleNormal="80" workbookViewId="0">
      <pane xSplit="3" ySplit="1" topLeftCell="D60" activePane="bottomRight" state="frozen"/>
      <selection pane="topRight" activeCell="D1" sqref="D1"/>
      <selection pane="bottomLeft" activeCell="A2" sqref="A2"/>
      <selection pane="bottomRight" activeCell="C69" sqref="C69"/>
    </sheetView>
  </sheetViews>
  <sheetFormatPr defaultRowHeight="18" x14ac:dyDescent="0.2"/>
  <cols>
    <col min="1" max="1" width="7.42578125" style="31" customWidth="1"/>
    <col min="2" max="2" width="8.85546875" style="29" customWidth="1"/>
    <col min="3" max="3" width="55" style="24" customWidth="1"/>
    <col min="4" max="4" width="44" style="24" customWidth="1"/>
    <col min="5" max="5" width="61.7109375" style="24" customWidth="1"/>
    <col min="6" max="6" width="11.140625" style="32" customWidth="1"/>
    <col min="7" max="7" width="24.42578125" style="26" customWidth="1"/>
    <col min="8" max="8" width="29" style="26" customWidth="1"/>
    <col min="9" max="9" width="28.42578125" style="26" customWidth="1"/>
    <col min="10" max="12" width="31.7109375" style="26" customWidth="1"/>
    <col min="13" max="13" width="11.7109375" style="26" customWidth="1"/>
    <col min="14" max="16384" width="9.140625" style="26"/>
  </cols>
  <sheetData>
    <row r="1" spans="1:13" s="16" customFormat="1" ht="34.5" customHeight="1" x14ac:dyDescent="0.3">
      <c r="A1" s="14" t="s">
        <v>9</v>
      </c>
      <c r="B1" s="15" t="s">
        <v>10</v>
      </c>
      <c r="C1" s="16" t="s">
        <v>0</v>
      </c>
      <c r="D1" s="16" t="s">
        <v>2</v>
      </c>
      <c r="E1" s="16" t="s">
        <v>11</v>
      </c>
      <c r="F1" s="17" t="s">
        <v>4</v>
      </c>
      <c r="G1" s="16" t="s">
        <v>13</v>
      </c>
      <c r="H1" s="16" t="s">
        <v>14</v>
      </c>
      <c r="I1" s="16" t="s">
        <v>15</v>
      </c>
      <c r="J1" s="16" t="s">
        <v>30</v>
      </c>
      <c r="K1" s="16" t="s">
        <v>123</v>
      </c>
      <c r="L1" s="16" t="s">
        <v>150</v>
      </c>
      <c r="M1" s="16" t="s">
        <v>151</v>
      </c>
    </row>
    <row r="2" spans="1:13" s="20" customFormat="1" ht="80.25" customHeight="1" x14ac:dyDescent="0.2">
      <c r="A2" s="18">
        <v>1</v>
      </c>
      <c r="B2" s="19">
        <v>30</v>
      </c>
      <c r="C2" s="20" t="s">
        <v>114</v>
      </c>
      <c r="D2" s="20" t="s">
        <v>16</v>
      </c>
      <c r="F2" s="21">
        <v>5</v>
      </c>
      <c r="G2" s="20">
        <v>1</v>
      </c>
      <c r="H2" s="20">
        <v>0</v>
      </c>
      <c r="I2" s="20" t="s">
        <v>17</v>
      </c>
      <c r="K2" s="20">
        <v>1</v>
      </c>
    </row>
    <row r="3" spans="1:13" s="20" customFormat="1" ht="85.5" customHeight="1" x14ac:dyDescent="0.2">
      <c r="A3" s="18">
        <v>2</v>
      </c>
      <c r="B3" s="19">
        <v>3</v>
      </c>
      <c r="C3" s="20" t="s">
        <v>119</v>
      </c>
      <c r="D3" s="20" t="s">
        <v>16</v>
      </c>
      <c r="F3" s="21">
        <v>5</v>
      </c>
      <c r="G3" s="20">
        <v>1</v>
      </c>
      <c r="H3" s="20">
        <v>0</v>
      </c>
      <c r="I3" s="20" t="s">
        <v>17</v>
      </c>
      <c r="K3" s="20">
        <v>1</v>
      </c>
    </row>
    <row r="4" spans="1:13" ht="61.5" customHeight="1" x14ac:dyDescent="0.2">
      <c r="A4" s="22">
        <v>3</v>
      </c>
      <c r="B4" s="23">
        <v>5</v>
      </c>
      <c r="C4" s="24" t="s">
        <v>31</v>
      </c>
      <c r="D4" s="24" t="s">
        <v>20</v>
      </c>
      <c r="F4" s="25">
        <v>5</v>
      </c>
      <c r="G4" s="26">
        <v>1</v>
      </c>
      <c r="H4" s="26">
        <v>1</v>
      </c>
      <c r="I4" s="26" t="s">
        <v>19</v>
      </c>
      <c r="K4" s="26">
        <v>1</v>
      </c>
    </row>
    <row r="5" spans="1:13" ht="56.25" x14ac:dyDescent="0.2">
      <c r="A5" s="18">
        <v>4</v>
      </c>
      <c r="B5" s="23">
        <v>5</v>
      </c>
      <c r="C5" s="24" t="s">
        <v>18</v>
      </c>
      <c r="D5" s="24" t="s">
        <v>20</v>
      </c>
      <c r="F5" s="25">
        <v>5</v>
      </c>
      <c r="G5" s="26">
        <v>1</v>
      </c>
      <c r="H5" s="26">
        <v>1</v>
      </c>
      <c r="I5" s="26" t="s">
        <v>19</v>
      </c>
      <c r="K5" s="26">
        <v>1</v>
      </c>
    </row>
    <row r="6" spans="1:13" ht="56.25" x14ac:dyDescent="0.2">
      <c r="A6" s="18">
        <v>5</v>
      </c>
      <c r="B6" s="19">
        <v>5</v>
      </c>
      <c r="C6" s="20" t="s">
        <v>21</v>
      </c>
      <c r="D6" s="20" t="s">
        <v>20</v>
      </c>
      <c r="E6" s="20"/>
      <c r="F6" s="21">
        <v>5</v>
      </c>
      <c r="G6" s="26">
        <v>1</v>
      </c>
      <c r="H6" s="26">
        <v>1</v>
      </c>
      <c r="K6" s="26">
        <v>1</v>
      </c>
    </row>
    <row r="7" spans="1:13" ht="112.5" x14ac:dyDescent="0.2">
      <c r="A7" s="18">
        <v>6</v>
      </c>
      <c r="B7" s="23">
        <v>110</v>
      </c>
      <c r="C7" s="36" t="s">
        <v>44</v>
      </c>
      <c r="D7" s="24" t="s">
        <v>48</v>
      </c>
      <c r="E7" s="24" t="s">
        <v>45</v>
      </c>
      <c r="F7" s="25">
        <v>5</v>
      </c>
      <c r="G7" s="26">
        <v>1</v>
      </c>
      <c r="H7" s="26">
        <v>0</v>
      </c>
      <c r="K7" s="26">
        <v>2</v>
      </c>
    </row>
    <row r="8" spans="1:13" ht="37.5" x14ac:dyDescent="0.2">
      <c r="A8" s="18">
        <v>7</v>
      </c>
      <c r="B8" s="19">
        <v>105</v>
      </c>
      <c r="C8" s="33" t="s">
        <v>46</v>
      </c>
      <c r="D8" s="20" t="s">
        <v>47</v>
      </c>
      <c r="E8" s="20" t="s">
        <v>49</v>
      </c>
      <c r="F8" s="25">
        <v>5</v>
      </c>
      <c r="G8" s="26">
        <v>1</v>
      </c>
      <c r="H8" s="26">
        <v>0</v>
      </c>
      <c r="K8" s="26">
        <v>2</v>
      </c>
    </row>
    <row r="9" spans="1:13" ht="18.75" x14ac:dyDescent="0.2">
      <c r="A9" s="18">
        <v>8</v>
      </c>
      <c r="B9" s="19">
        <v>0</v>
      </c>
      <c r="C9" s="20" t="s">
        <v>32</v>
      </c>
      <c r="D9" s="20"/>
      <c r="E9" s="20"/>
      <c r="F9" s="25">
        <v>5</v>
      </c>
      <c r="G9" s="26">
        <v>0</v>
      </c>
      <c r="H9" s="26">
        <v>0</v>
      </c>
      <c r="M9" s="26">
        <f t="shared" ref="M9:M37" si="0">L9/F9</f>
        <v>0</v>
      </c>
    </row>
    <row r="10" spans="1:13" ht="18.75" x14ac:dyDescent="0.2">
      <c r="A10" s="18">
        <v>9</v>
      </c>
      <c r="B10" s="19">
        <v>0</v>
      </c>
      <c r="C10" s="20" t="s">
        <v>33</v>
      </c>
      <c r="F10" s="25">
        <v>5</v>
      </c>
      <c r="G10" s="26">
        <v>0</v>
      </c>
      <c r="H10" s="26">
        <v>0</v>
      </c>
      <c r="M10" s="26">
        <f t="shared" si="0"/>
        <v>0</v>
      </c>
    </row>
    <row r="11" spans="1:13" ht="18.75" x14ac:dyDescent="0.2">
      <c r="A11" s="18">
        <v>10</v>
      </c>
      <c r="B11" s="19">
        <v>0</v>
      </c>
      <c r="C11" s="39" t="s">
        <v>79</v>
      </c>
      <c r="D11" s="39"/>
      <c r="E11" s="39"/>
      <c r="F11" s="44">
        <v>0</v>
      </c>
      <c r="G11" s="41">
        <v>0</v>
      </c>
      <c r="H11" s="41">
        <v>0</v>
      </c>
      <c r="M11" s="26" t="e">
        <f t="shared" si="0"/>
        <v>#DIV/0!</v>
      </c>
    </row>
    <row r="12" spans="1:13" ht="18.75" x14ac:dyDescent="0.2">
      <c r="A12" s="18">
        <v>11</v>
      </c>
      <c r="B12" s="19">
        <v>0</v>
      </c>
      <c r="C12" s="20" t="s">
        <v>22</v>
      </c>
      <c r="D12" s="20"/>
      <c r="E12" s="20"/>
      <c r="F12" s="25">
        <v>5</v>
      </c>
      <c r="G12" s="26">
        <v>0</v>
      </c>
      <c r="H12" s="26">
        <v>0</v>
      </c>
      <c r="M12" s="26">
        <f t="shared" si="0"/>
        <v>0</v>
      </c>
    </row>
    <row r="13" spans="1:13" ht="18.75" x14ac:dyDescent="0.2">
      <c r="A13" s="18">
        <v>12</v>
      </c>
      <c r="B13" s="19">
        <v>0</v>
      </c>
      <c r="C13" s="20" t="s">
        <v>23</v>
      </c>
      <c r="F13" s="25">
        <v>5</v>
      </c>
      <c r="G13" s="26">
        <v>0</v>
      </c>
      <c r="H13" s="26">
        <v>0</v>
      </c>
      <c r="M13" s="26">
        <f t="shared" si="0"/>
        <v>0</v>
      </c>
    </row>
    <row r="14" spans="1:13" ht="18.75" x14ac:dyDescent="0.2">
      <c r="A14" s="18">
        <v>13</v>
      </c>
      <c r="B14" s="19">
        <v>0</v>
      </c>
      <c r="C14" s="20" t="s">
        <v>24</v>
      </c>
      <c r="D14" s="20"/>
      <c r="E14" s="20"/>
      <c r="F14" s="25">
        <v>5</v>
      </c>
      <c r="G14" s="26">
        <v>0</v>
      </c>
      <c r="H14" s="26">
        <v>0</v>
      </c>
      <c r="M14" s="26">
        <f t="shared" si="0"/>
        <v>0</v>
      </c>
    </row>
    <row r="15" spans="1:13" ht="18.75" x14ac:dyDescent="0.2">
      <c r="A15" s="18">
        <v>14</v>
      </c>
      <c r="B15" s="19">
        <v>0</v>
      </c>
      <c r="C15" s="20" t="s">
        <v>25</v>
      </c>
      <c r="D15" s="20"/>
      <c r="E15" s="20"/>
      <c r="F15" s="25">
        <v>5</v>
      </c>
      <c r="G15" s="26">
        <v>0</v>
      </c>
      <c r="H15" s="26">
        <v>0</v>
      </c>
      <c r="M15" s="26">
        <f t="shared" si="0"/>
        <v>0</v>
      </c>
    </row>
    <row r="16" spans="1:13" ht="18.75" x14ac:dyDescent="0.2">
      <c r="A16" s="18">
        <v>15</v>
      </c>
      <c r="B16" s="19">
        <v>0</v>
      </c>
      <c r="C16" s="20" t="s">
        <v>26</v>
      </c>
      <c r="F16" s="25">
        <v>5</v>
      </c>
      <c r="G16" s="26">
        <v>0</v>
      </c>
      <c r="H16" s="26">
        <v>0</v>
      </c>
      <c r="M16" s="26">
        <f t="shared" si="0"/>
        <v>0</v>
      </c>
    </row>
    <row r="17" spans="1:13" ht="18.75" x14ac:dyDescent="0.2">
      <c r="A17" s="18">
        <v>16</v>
      </c>
      <c r="B17" s="19">
        <v>0</v>
      </c>
      <c r="C17" s="20" t="s">
        <v>27</v>
      </c>
      <c r="D17" s="20"/>
      <c r="E17" s="20"/>
      <c r="F17" s="25">
        <v>5</v>
      </c>
      <c r="G17" s="26">
        <v>0</v>
      </c>
      <c r="H17" s="26">
        <v>0</v>
      </c>
      <c r="M17" s="26">
        <f t="shared" si="0"/>
        <v>0</v>
      </c>
    </row>
    <row r="18" spans="1:13" ht="18.75" x14ac:dyDescent="0.2">
      <c r="A18" s="18">
        <v>17</v>
      </c>
      <c r="B18" s="19">
        <v>0</v>
      </c>
      <c r="C18" s="20" t="s">
        <v>28</v>
      </c>
      <c r="D18" s="20"/>
      <c r="E18" s="20"/>
      <c r="F18" s="25">
        <v>5</v>
      </c>
      <c r="G18" s="26">
        <v>0</v>
      </c>
      <c r="H18" s="26">
        <v>0</v>
      </c>
      <c r="M18" s="26">
        <f t="shared" si="0"/>
        <v>0</v>
      </c>
    </row>
    <row r="19" spans="1:13" ht="18.75" x14ac:dyDescent="0.2">
      <c r="A19" s="18">
        <v>18</v>
      </c>
      <c r="B19" s="19">
        <v>0</v>
      </c>
      <c r="C19" s="20" t="s">
        <v>29</v>
      </c>
      <c r="F19" s="25">
        <v>5</v>
      </c>
      <c r="G19" s="26">
        <v>0</v>
      </c>
      <c r="H19" s="26">
        <v>0</v>
      </c>
      <c r="M19" s="26">
        <f t="shared" si="0"/>
        <v>0</v>
      </c>
    </row>
    <row r="20" spans="1:13" ht="75" x14ac:dyDescent="0.2">
      <c r="A20" s="18">
        <v>19</v>
      </c>
      <c r="B20" s="19">
        <v>105</v>
      </c>
      <c r="C20" s="20" t="s">
        <v>125</v>
      </c>
      <c r="D20" s="37" t="s">
        <v>54</v>
      </c>
      <c r="E20" s="20" t="s">
        <v>57</v>
      </c>
      <c r="F20" s="25">
        <v>5</v>
      </c>
      <c r="G20" s="26">
        <v>1</v>
      </c>
      <c r="H20" s="26">
        <v>1</v>
      </c>
      <c r="J20" s="34" t="s">
        <v>41</v>
      </c>
      <c r="K20" s="34">
        <v>3</v>
      </c>
      <c r="L20" s="34">
        <v>9</v>
      </c>
      <c r="M20" s="26">
        <f t="shared" si="0"/>
        <v>1.8</v>
      </c>
    </row>
    <row r="21" spans="1:13" s="27" customFormat="1" ht="75" x14ac:dyDescent="0.2">
      <c r="A21" s="18">
        <v>20</v>
      </c>
      <c r="B21" s="19">
        <v>90</v>
      </c>
      <c r="C21" s="20" t="s">
        <v>157</v>
      </c>
      <c r="D21" s="24" t="s">
        <v>58</v>
      </c>
      <c r="E21" s="24" t="s">
        <v>59</v>
      </c>
      <c r="F21" s="25">
        <v>3</v>
      </c>
      <c r="G21" s="26">
        <v>1</v>
      </c>
      <c r="H21" s="26">
        <v>1</v>
      </c>
      <c r="I21" s="26"/>
      <c r="J21" s="34" t="s">
        <v>42</v>
      </c>
      <c r="K21" s="34">
        <v>3</v>
      </c>
      <c r="L21" s="34">
        <v>9.5</v>
      </c>
      <c r="M21" s="26">
        <f t="shared" si="0"/>
        <v>3.1666666666666665</v>
      </c>
    </row>
    <row r="22" spans="1:13" ht="56.25" x14ac:dyDescent="0.2">
      <c r="A22" s="18">
        <v>21</v>
      </c>
      <c r="B22" s="19">
        <v>0</v>
      </c>
      <c r="C22" s="39" t="s">
        <v>60</v>
      </c>
      <c r="F22" s="25">
        <v>0</v>
      </c>
      <c r="G22" s="26">
        <v>0</v>
      </c>
      <c r="H22" s="26">
        <v>1</v>
      </c>
      <c r="J22" s="34" t="s">
        <v>42</v>
      </c>
      <c r="K22" s="34"/>
      <c r="L22" s="34"/>
      <c r="M22" s="26" t="e">
        <f t="shared" si="0"/>
        <v>#DIV/0!</v>
      </c>
    </row>
    <row r="23" spans="1:13" ht="93.75" x14ac:dyDescent="0.2">
      <c r="A23" s="18">
        <v>22</v>
      </c>
      <c r="B23" s="19">
        <v>84</v>
      </c>
      <c r="C23" s="20" t="s">
        <v>220</v>
      </c>
      <c r="D23" s="33" t="s">
        <v>61</v>
      </c>
      <c r="E23" s="20" t="s">
        <v>130</v>
      </c>
      <c r="F23" s="25">
        <v>3</v>
      </c>
      <c r="G23" s="26">
        <v>1</v>
      </c>
      <c r="H23" s="26">
        <v>1</v>
      </c>
      <c r="J23" s="34" t="s">
        <v>42</v>
      </c>
      <c r="K23" s="34">
        <v>5</v>
      </c>
      <c r="L23" s="34">
        <v>8</v>
      </c>
      <c r="M23" s="26">
        <f t="shared" si="0"/>
        <v>2.6666666666666665</v>
      </c>
    </row>
    <row r="24" spans="1:13" ht="112.5" x14ac:dyDescent="0.2">
      <c r="A24" s="18">
        <v>23</v>
      </c>
      <c r="B24" s="19">
        <v>83</v>
      </c>
      <c r="C24" s="33" t="s">
        <v>170</v>
      </c>
      <c r="D24" s="20" t="s">
        <v>63</v>
      </c>
      <c r="E24" s="20" t="s">
        <v>62</v>
      </c>
      <c r="F24" s="25">
        <v>5</v>
      </c>
      <c r="G24" s="26">
        <v>1</v>
      </c>
      <c r="H24" s="26">
        <v>1</v>
      </c>
      <c r="J24" s="34" t="s">
        <v>42</v>
      </c>
      <c r="K24" s="34">
        <v>5</v>
      </c>
      <c r="L24" s="34">
        <v>12.5</v>
      </c>
      <c r="M24" s="26">
        <f t="shared" si="0"/>
        <v>2.5</v>
      </c>
    </row>
    <row r="25" spans="1:13" ht="75" x14ac:dyDescent="0.2">
      <c r="A25" s="18">
        <v>24</v>
      </c>
      <c r="B25" s="19">
        <v>68</v>
      </c>
      <c r="C25" s="24" t="s">
        <v>161</v>
      </c>
      <c r="F25" s="25">
        <v>5</v>
      </c>
      <c r="G25" s="26">
        <v>0</v>
      </c>
      <c r="H25" s="26">
        <v>1</v>
      </c>
      <c r="J25" s="34" t="s">
        <v>42</v>
      </c>
      <c r="K25" s="34"/>
      <c r="L25" s="34"/>
      <c r="M25" s="26">
        <f t="shared" si="0"/>
        <v>0</v>
      </c>
    </row>
    <row r="26" spans="1:13" ht="18.75" x14ac:dyDescent="0.2">
      <c r="A26" s="18">
        <v>25</v>
      </c>
      <c r="B26" s="19">
        <v>0</v>
      </c>
      <c r="C26" s="20" t="s">
        <v>34</v>
      </c>
      <c r="D26" s="20"/>
      <c r="E26" s="20"/>
      <c r="F26" s="21">
        <v>1</v>
      </c>
      <c r="G26" s="26">
        <v>0</v>
      </c>
      <c r="H26" s="26">
        <v>1</v>
      </c>
      <c r="J26" s="34" t="s">
        <v>43</v>
      </c>
      <c r="K26" s="34"/>
      <c r="L26" s="34"/>
      <c r="M26" s="26">
        <f t="shared" si="0"/>
        <v>0</v>
      </c>
    </row>
    <row r="27" spans="1:13" ht="18.75" x14ac:dyDescent="0.2">
      <c r="A27" s="18">
        <v>26</v>
      </c>
      <c r="B27" s="19">
        <v>0</v>
      </c>
      <c r="C27" s="20" t="s">
        <v>35</v>
      </c>
      <c r="D27" s="20"/>
      <c r="E27" s="20"/>
      <c r="F27" s="21">
        <v>1</v>
      </c>
      <c r="G27" s="26">
        <v>0</v>
      </c>
      <c r="H27" s="26">
        <v>1</v>
      </c>
      <c r="J27" s="34" t="s">
        <v>43</v>
      </c>
      <c r="K27" s="34"/>
      <c r="L27" s="34"/>
      <c r="M27" s="26">
        <f t="shared" si="0"/>
        <v>0</v>
      </c>
    </row>
    <row r="28" spans="1:13" ht="18.75" x14ac:dyDescent="0.2">
      <c r="A28" s="18">
        <v>27</v>
      </c>
      <c r="B28" s="19">
        <v>0</v>
      </c>
      <c r="C28" s="24" t="s">
        <v>36</v>
      </c>
      <c r="F28" s="30">
        <v>1</v>
      </c>
      <c r="G28" s="26">
        <v>0</v>
      </c>
      <c r="H28" s="26">
        <v>1</v>
      </c>
      <c r="J28" s="34" t="s">
        <v>43</v>
      </c>
      <c r="K28" s="34"/>
      <c r="L28" s="34"/>
      <c r="M28" s="26">
        <f t="shared" si="0"/>
        <v>0</v>
      </c>
    </row>
    <row r="29" spans="1:13" ht="18.75" x14ac:dyDescent="0.2">
      <c r="A29" s="18">
        <v>28</v>
      </c>
      <c r="B29" s="19">
        <v>0</v>
      </c>
      <c r="C29" s="20" t="s">
        <v>37</v>
      </c>
      <c r="D29" s="20"/>
      <c r="E29" s="20"/>
      <c r="F29" s="21">
        <v>2</v>
      </c>
      <c r="G29" s="26">
        <v>0</v>
      </c>
      <c r="H29" s="26">
        <v>1</v>
      </c>
      <c r="J29" s="34" t="s">
        <v>43</v>
      </c>
      <c r="K29" s="34"/>
      <c r="L29" s="34"/>
      <c r="M29" s="26">
        <f t="shared" si="0"/>
        <v>0</v>
      </c>
    </row>
    <row r="30" spans="1:13" ht="37.5" x14ac:dyDescent="0.2">
      <c r="A30" s="18">
        <v>29</v>
      </c>
      <c r="B30" s="19">
        <v>0</v>
      </c>
      <c r="C30" s="20" t="s">
        <v>38</v>
      </c>
      <c r="D30" s="20"/>
      <c r="E30" s="20"/>
      <c r="F30" s="21">
        <v>3</v>
      </c>
      <c r="G30" s="26">
        <v>0</v>
      </c>
      <c r="H30" s="26">
        <v>1</v>
      </c>
      <c r="J30" s="34" t="s">
        <v>43</v>
      </c>
      <c r="K30" s="34"/>
      <c r="L30" s="34"/>
      <c r="M30" s="26">
        <f t="shared" si="0"/>
        <v>0</v>
      </c>
    </row>
    <row r="31" spans="1:13" ht="37.5" x14ac:dyDescent="0.2">
      <c r="A31" s="18">
        <v>30</v>
      </c>
      <c r="B31" s="19">
        <v>0</v>
      </c>
      <c r="C31" s="24" t="s">
        <v>39</v>
      </c>
      <c r="F31" s="30">
        <v>1</v>
      </c>
      <c r="G31" s="26">
        <v>0</v>
      </c>
      <c r="H31" s="26">
        <v>1</v>
      </c>
      <c r="J31" s="34" t="s">
        <v>43</v>
      </c>
      <c r="K31" s="34"/>
      <c r="L31" s="34"/>
      <c r="M31" s="26">
        <f t="shared" si="0"/>
        <v>0</v>
      </c>
    </row>
    <row r="32" spans="1:13" ht="37.5" x14ac:dyDescent="0.2">
      <c r="A32" s="18">
        <v>31</v>
      </c>
      <c r="B32" s="19">
        <v>0</v>
      </c>
      <c r="C32" s="33" t="s">
        <v>40</v>
      </c>
      <c r="D32" s="20"/>
      <c r="E32" s="20"/>
      <c r="F32" s="21">
        <v>5</v>
      </c>
      <c r="G32" s="26">
        <v>0</v>
      </c>
      <c r="H32" s="26">
        <v>1</v>
      </c>
      <c r="J32" s="34" t="s">
        <v>43</v>
      </c>
      <c r="K32" s="34"/>
      <c r="L32" s="34"/>
      <c r="M32" s="26">
        <f t="shared" si="0"/>
        <v>0</v>
      </c>
    </row>
    <row r="33" spans="1:13" ht="18.75" x14ac:dyDescent="0.2">
      <c r="A33" s="18">
        <v>32</v>
      </c>
      <c r="B33" s="19">
        <v>0</v>
      </c>
      <c r="C33" s="39" t="s">
        <v>71</v>
      </c>
      <c r="D33" s="39"/>
      <c r="E33" s="39" t="s">
        <v>72</v>
      </c>
      <c r="F33" s="40">
        <v>0</v>
      </c>
      <c r="G33" s="41">
        <v>0</v>
      </c>
      <c r="H33" s="41">
        <v>1</v>
      </c>
      <c r="I33" s="41"/>
      <c r="J33" s="41" t="s">
        <v>51</v>
      </c>
      <c r="K33" s="41"/>
      <c r="L33" s="41"/>
      <c r="M33" s="26" t="e">
        <f t="shared" si="0"/>
        <v>#DIV/0!</v>
      </c>
    </row>
    <row r="34" spans="1:13" ht="18.75" x14ac:dyDescent="0.2">
      <c r="A34" s="28">
        <v>33</v>
      </c>
      <c r="B34" s="29">
        <v>99</v>
      </c>
      <c r="C34" s="24" t="s">
        <v>50</v>
      </c>
      <c r="F34" s="30">
        <v>5</v>
      </c>
      <c r="G34" s="26">
        <v>1</v>
      </c>
      <c r="H34" s="26">
        <v>0</v>
      </c>
      <c r="K34" s="26">
        <v>3</v>
      </c>
      <c r="L34" s="26">
        <v>9</v>
      </c>
      <c r="M34" s="26">
        <f t="shared" si="0"/>
        <v>1.8</v>
      </c>
    </row>
    <row r="35" spans="1:13" ht="75" x14ac:dyDescent="0.2">
      <c r="A35" s="18">
        <v>34</v>
      </c>
      <c r="B35" s="19">
        <v>86</v>
      </c>
      <c r="C35" s="20" t="s">
        <v>53</v>
      </c>
      <c r="D35" s="20" t="s">
        <v>67</v>
      </c>
      <c r="E35" s="20" t="s">
        <v>64</v>
      </c>
      <c r="F35" s="21">
        <v>3</v>
      </c>
      <c r="G35" s="26">
        <v>1</v>
      </c>
      <c r="H35" s="26">
        <v>0</v>
      </c>
      <c r="K35" s="26">
        <v>3</v>
      </c>
      <c r="L35" s="26">
        <v>4.33</v>
      </c>
      <c r="M35" s="26">
        <f t="shared" si="0"/>
        <v>1.4433333333333334</v>
      </c>
    </row>
    <row r="36" spans="1:13" ht="56.25" x14ac:dyDescent="0.2">
      <c r="A36" s="18">
        <v>35</v>
      </c>
      <c r="B36" s="19">
        <v>84</v>
      </c>
      <c r="C36" s="20" t="s">
        <v>52</v>
      </c>
      <c r="D36" s="20" t="s">
        <v>67</v>
      </c>
      <c r="E36" s="20" t="s">
        <v>65</v>
      </c>
      <c r="F36" s="21">
        <v>3</v>
      </c>
      <c r="G36" s="26">
        <v>1</v>
      </c>
      <c r="H36" s="26">
        <v>0</v>
      </c>
      <c r="K36" s="26">
        <v>3</v>
      </c>
      <c r="L36" s="26">
        <v>1</v>
      </c>
      <c r="M36" s="26">
        <f t="shared" si="0"/>
        <v>0.33333333333333331</v>
      </c>
    </row>
    <row r="37" spans="1:13" ht="56.25" x14ac:dyDescent="0.2">
      <c r="A37" s="28">
        <v>36</v>
      </c>
      <c r="B37" s="29">
        <v>85</v>
      </c>
      <c r="C37" s="24" t="s">
        <v>66</v>
      </c>
      <c r="D37" s="20" t="s">
        <v>67</v>
      </c>
      <c r="E37" s="24" t="s">
        <v>68</v>
      </c>
      <c r="F37" s="30">
        <v>2</v>
      </c>
      <c r="G37" s="26">
        <v>1</v>
      </c>
      <c r="H37" s="26">
        <v>0</v>
      </c>
      <c r="K37" s="26">
        <v>3</v>
      </c>
      <c r="L37" s="26">
        <v>1</v>
      </c>
      <c r="M37" s="26">
        <f t="shared" si="0"/>
        <v>0.5</v>
      </c>
    </row>
    <row r="38" spans="1:13" ht="93.75" x14ac:dyDescent="0.2">
      <c r="A38" s="18">
        <v>37</v>
      </c>
      <c r="B38" s="19">
        <v>104</v>
      </c>
      <c r="C38" s="33" t="s">
        <v>80</v>
      </c>
      <c r="D38" s="20" t="s">
        <v>55</v>
      </c>
      <c r="E38" s="20" t="s">
        <v>56</v>
      </c>
      <c r="F38" s="21">
        <v>3</v>
      </c>
      <c r="G38" s="26">
        <v>1</v>
      </c>
      <c r="H38" s="26">
        <v>1</v>
      </c>
      <c r="K38" s="26">
        <v>3</v>
      </c>
      <c r="L38" s="26">
        <v>5.5</v>
      </c>
      <c r="M38" s="26">
        <f>L38/F38</f>
        <v>1.8333333333333333</v>
      </c>
    </row>
    <row r="39" spans="1:13" ht="112.5" x14ac:dyDescent="0.2">
      <c r="A39" s="18">
        <v>38</v>
      </c>
      <c r="B39" s="19">
        <v>83</v>
      </c>
      <c r="C39" s="20" t="s">
        <v>162</v>
      </c>
      <c r="D39" s="20" t="s">
        <v>69</v>
      </c>
      <c r="E39" s="20" t="s">
        <v>76</v>
      </c>
      <c r="F39" s="21">
        <v>5</v>
      </c>
      <c r="G39" s="26">
        <v>1</v>
      </c>
      <c r="H39" s="26">
        <v>0</v>
      </c>
      <c r="K39" s="26">
        <v>5</v>
      </c>
      <c r="L39" s="26">
        <v>1.58</v>
      </c>
      <c r="M39" s="26">
        <f t="shared" ref="M39:M41" si="1">L39/F39</f>
        <v>0.316</v>
      </c>
    </row>
    <row r="40" spans="1:13" ht="131.25" x14ac:dyDescent="0.2">
      <c r="A40" s="28">
        <v>39</v>
      </c>
      <c r="B40" s="29">
        <v>82</v>
      </c>
      <c r="C40" s="24" t="s">
        <v>129</v>
      </c>
      <c r="D40" s="20" t="s">
        <v>69</v>
      </c>
      <c r="E40" s="24" t="s">
        <v>77</v>
      </c>
      <c r="F40" s="30">
        <v>5</v>
      </c>
      <c r="G40" s="26">
        <v>0</v>
      </c>
      <c r="H40" s="26">
        <v>0</v>
      </c>
      <c r="M40" s="26">
        <f t="shared" si="1"/>
        <v>0</v>
      </c>
    </row>
    <row r="41" spans="1:13" ht="93.75" x14ac:dyDescent="0.2">
      <c r="A41" s="18">
        <v>40</v>
      </c>
      <c r="B41" s="19">
        <v>81</v>
      </c>
      <c r="C41" s="20" t="s">
        <v>131</v>
      </c>
      <c r="D41" s="20" t="s">
        <v>69</v>
      </c>
      <c r="E41" s="24" t="s">
        <v>78</v>
      </c>
      <c r="F41" s="21">
        <v>3</v>
      </c>
      <c r="G41" s="26">
        <v>0</v>
      </c>
      <c r="H41" s="26">
        <v>0</v>
      </c>
      <c r="M41" s="26">
        <f t="shared" si="1"/>
        <v>0</v>
      </c>
    </row>
    <row r="42" spans="1:13" x14ac:dyDescent="0.2">
      <c r="A42" s="18">
        <v>41</v>
      </c>
      <c r="B42" s="19">
        <v>1</v>
      </c>
      <c r="C42" s="20" t="s">
        <v>70</v>
      </c>
      <c r="D42" s="20"/>
      <c r="E42" s="20"/>
      <c r="F42" s="21">
        <v>4</v>
      </c>
      <c r="G42" s="26">
        <v>1</v>
      </c>
      <c r="H42" s="26">
        <v>0</v>
      </c>
      <c r="K42" s="26">
        <v>1</v>
      </c>
    </row>
    <row r="43" spans="1:13" x14ac:dyDescent="0.2">
      <c r="A43" s="28">
        <v>42</v>
      </c>
      <c r="B43" s="19">
        <v>1</v>
      </c>
      <c r="C43" s="20" t="s">
        <v>70</v>
      </c>
      <c r="D43" s="20"/>
      <c r="E43" s="20"/>
      <c r="F43" s="21">
        <v>4</v>
      </c>
      <c r="G43" s="26">
        <v>1</v>
      </c>
      <c r="H43" s="26">
        <v>0</v>
      </c>
      <c r="K43" s="26">
        <v>2</v>
      </c>
      <c r="M43" s="26">
        <f t="shared" ref="M43:M54" si="2">L43/F43</f>
        <v>0</v>
      </c>
    </row>
    <row r="44" spans="1:13" x14ac:dyDescent="0.2">
      <c r="A44" s="18">
        <v>43</v>
      </c>
      <c r="B44" s="19">
        <v>1</v>
      </c>
      <c r="C44" s="20" t="s">
        <v>70</v>
      </c>
      <c r="D44" s="20"/>
      <c r="E44" s="20"/>
      <c r="F44" s="21">
        <v>4</v>
      </c>
      <c r="G44" s="26">
        <v>1</v>
      </c>
      <c r="H44" s="26">
        <v>0</v>
      </c>
      <c r="K44" s="26">
        <v>3</v>
      </c>
      <c r="M44" s="26">
        <f t="shared" si="2"/>
        <v>0</v>
      </c>
    </row>
    <row r="45" spans="1:13" x14ac:dyDescent="0.2">
      <c r="A45" s="18">
        <v>44</v>
      </c>
      <c r="B45" s="19">
        <v>1</v>
      </c>
      <c r="C45" s="20" t="s">
        <v>70</v>
      </c>
      <c r="D45" s="20"/>
      <c r="E45" s="20"/>
      <c r="F45" s="21">
        <v>4</v>
      </c>
      <c r="G45" s="26">
        <v>1</v>
      </c>
      <c r="H45" s="26">
        <v>0</v>
      </c>
      <c r="K45" s="26">
        <v>4</v>
      </c>
      <c r="M45" s="26">
        <f t="shared" si="2"/>
        <v>0</v>
      </c>
    </row>
    <row r="46" spans="1:13" x14ac:dyDescent="0.2">
      <c r="A46" s="28">
        <v>45</v>
      </c>
      <c r="B46" s="19">
        <v>1</v>
      </c>
      <c r="C46" s="20" t="s">
        <v>70</v>
      </c>
      <c r="D46" s="20"/>
      <c r="E46" s="20"/>
      <c r="F46" s="21">
        <v>4</v>
      </c>
      <c r="G46" s="26">
        <v>1</v>
      </c>
      <c r="H46" s="26">
        <v>0</v>
      </c>
      <c r="K46" s="26">
        <v>5</v>
      </c>
      <c r="M46" s="26">
        <f t="shared" si="2"/>
        <v>0</v>
      </c>
    </row>
    <row r="47" spans="1:13" x14ac:dyDescent="0.2">
      <c r="A47" s="18">
        <v>46</v>
      </c>
      <c r="B47" s="19">
        <v>1</v>
      </c>
      <c r="C47" s="20" t="s">
        <v>70</v>
      </c>
      <c r="D47" s="20"/>
      <c r="E47" s="20"/>
      <c r="F47" s="21">
        <v>4</v>
      </c>
      <c r="G47" s="26">
        <v>1</v>
      </c>
      <c r="H47" s="26">
        <v>0</v>
      </c>
      <c r="K47" s="26">
        <v>6</v>
      </c>
      <c r="M47" s="26">
        <f t="shared" si="2"/>
        <v>0</v>
      </c>
    </row>
    <row r="48" spans="1:13" x14ac:dyDescent="0.2">
      <c r="A48" s="18">
        <v>47</v>
      </c>
      <c r="B48" s="19">
        <v>1</v>
      </c>
      <c r="C48" s="20" t="s">
        <v>70</v>
      </c>
      <c r="D48" s="20"/>
      <c r="E48" s="20"/>
      <c r="F48" s="21">
        <v>4</v>
      </c>
      <c r="G48" s="26">
        <v>0</v>
      </c>
      <c r="H48" s="26">
        <v>0</v>
      </c>
      <c r="M48" s="26">
        <f t="shared" si="2"/>
        <v>0</v>
      </c>
    </row>
    <row r="49" spans="1:13" x14ac:dyDescent="0.2">
      <c r="A49" s="28">
        <v>48</v>
      </c>
      <c r="B49" s="19">
        <v>1</v>
      </c>
      <c r="C49" s="20" t="s">
        <v>70</v>
      </c>
      <c r="D49" s="20"/>
      <c r="E49" s="20"/>
      <c r="F49" s="21">
        <v>4</v>
      </c>
      <c r="G49" s="26">
        <v>0</v>
      </c>
      <c r="H49" s="26">
        <v>0</v>
      </c>
      <c r="M49" s="26">
        <f t="shared" si="2"/>
        <v>0</v>
      </c>
    </row>
    <row r="50" spans="1:13" x14ac:dyDescent="0.2">
      <c r="A50" s="18">
        <v>49</v>
      </c>
      <c r="B50" s="19">
        <v>1</v>
      </c>
      <c r="C50" s="20" t="s">
        <v>70</v>
      </c>
      <c r="D50" s="20"/>
      <c r="E50" s="20"/>
      <c r="F50" s="21">
        <v>4</v>
      </c>
      <c r="G50" s="26">
        <v>0</v>
      </c>
      <c r="H50" s="26">
        <v>0</v>
      </c>
      <c r="M50" s="26">
        <f t="shared" si="2"/>
        <v>0</v>
      </c>
    </row>
    <row r="51" spans="1:13" x14ac:dyDescent="0.2">
      <c r="A51" s="18">
        <v>50</v>
      </c>
      <c r="B51" s="19">
        <v>1</v>
      </c>
      <c r="C51" s="20" t="s">
        <v>70</v>
      </c>
      <c r="D51" s="20"/>
      <c r="E51" s="20"/>
      <c r="F51" s="21">
        <v>4</v>
      </c>
      <c r="G51" s="26">
        <v>0</v>
      </c>
      <c r="H51" s="26">
        <v>0</v>
      </c>
      <c r="M51" s="26">
        <f t="shared" si="2"/>
        <v>0</v>
      </c>
    </row>
    <row r="52" spans="1:13" x14ac:dyDescent="0.2">
      <c r="A52" s="28">
        <v>51</v>
      </c>
      <c r="B52" s="19">
        <v>1</v>
      </c>
      <c r="C52" s="20" t="s">
        <v>70</v>
      </c>
      <c r="D52" s="20"/>
      <c r="E52" s="20"/>
      <c r="F52" s="21">
        <v>4</v>
      </c>
      <c r="G52" s="26">
        <v>0</v>
      </c>
      <c r="H52" s="26">
        <v>0</v>
      </c>
      <c r="M52" s="26">
        <f t="shared" si="2"/>
        <v>0</v>
      </c>
    </row>
    <row r="53" spans="1:13" x14ac:dyDescent="0.2">
      <c r="A53" s="18">
        <v>52</v>
      </c>
      <c r="B53" s="19">
        <v>1</v>
      </c>
      <c r="C53" s="20" t="s">
        <v>70</v>
      </c>
      <c r="D53" s="20"/>
      <c r="E53" s="20"/>
      <c r="F53" s="21">
        <v>4</v>
      </c>
      <c r="G53" s="26">
        <v>0</v>
      </c>
      <c r="H53" s="26">
        <v>0</v>
      </c>
      <c r="M53" s="26">
        <f t="shared" si="2"/>
        <v>0</v>
      </c>
    </row>
    <row r="54" spans="1:13" ht="131.25" x14ac:dyDescent="0.2">
      <c r="A54" s="18">
        <v>53</v>
      </c>
      <c r="B54" s="19">
        <v>86</v>
      </c>
      <c r="C54" s="33" t="s">
        <v>166</v>
      </c>
      <c r="D54" s="20" t="s">
        <v>144</v>
      </c>
      <c r="E54" s="20" t="s">
        <v>145</v>
      </c>
      <c r="F54" s="21">
        <v>5</v>
      </c>
      <c r="G54" s="26">
        <v>1</v>
      </c>
      <c r="H54" s="26">
        <v>1</v>
      </c>
      <c r="K54" s="26">
        <v>5</v>
      </c>
      <c r="L54" s="26">
        <v>18.420000000000002</v>
      </c>
      <c r="M54" s="26">
        <f t="shared" si="2"/>
        <v>3.6840000000000002</v>
      </c>
    </row>
    <row r="55" spans="1:13" ht="18.75" x14ac:dyDescent="0.2">
      <c r="A55" s="28">
        <v>54</v>
      </c>
      <c r="B55" s="29">
        <v>1</v>
      </c>
      <c r="C55" s="60" t="s">
        <v>122</v>
      </c>
      <c r="F55" s="30">
        <v>2</v>
      </c>
      <c r="G55" s="26">
        <v>1</v>
      </c>
      <c r="H55" s="26">
        <v>1</v>
      </c>
      <c r="K55" s="26">
        <v>1</v>
      </c>
    </row>
    <row r="56" spans="1:13" ht="131.25" x14ac:dyDescent="0.2">
      <c r="A56" s="18">
        <v>54</v>
      </c>
      <c r="B56" s="19">
        <v>90</v>
      </c>
      <c r="C56" s="33" t="s">
        <v>154</v>
      </c>
      <c r="D56" s="33" t="s">
        <v>139</v>
      </c>
      <c r="E56" s="20" t="s">
        <v>138</v>
      </c>
      <c r="F56" s="21">
        <v>5</v>
      </c>
      <c r="G56" s="26">
        <v>1</v>
      </c>
      <c r="H56" s="26">
        <v>1</v>
      </c>
      <c r="K56" s="26">
        <v>4</v>
      </c>
      <c r="L56" s="26">
        <v>25.5</v>
      </c>
      <c r="M56" s="26">
        <f t="shared" ref="M56:M62" si="3">L56/F56</f>
        <v>5.0999999999999996</v>
      </c>
    </row>
    <row r="57" spans="1:13" ht="318.75" x14ac:dyDescent="0.2">
      <c r="A57" s="18">
        <v>55</v>
      </c>
      <c r="B57" s="19">
        <v>88</v>
      </c>
      <c r="C57" s="33" t="s">
        <v>168</v>
      </c>
      <c r="D57" s="20" t="s">
        <v>141</v>
      </c>
      <c r="E57" s="20" t="s">
        <v>140</v>
      </c>
      <c r="F57" s="21">
        <v>5</v>
      </c>
      <c r="G57" s="26">
        <v>1</v>
      </c>
      <c r="H57" s="26">
        <v>1</v>
      </c>
      <c r="K57" s="26">
        <v>4</v>
      </c>
      <c r="L57" s="26">
        <v>15.33</v>
      </c>
      <c r="M57" s="26">
        <f t="shared" si="3"/>
        <v>3.0659999999999998</v>
      </c>
    </row>
    <row r="58" spans="1:13" ht="74.25" x14ac:dyDescent="0.2">
      <c r="A58" s="28">
        <v>56</v>
      </c>
      <c r="B58" s="29">
        <v>86</v>
      </c>
      <c r="C58" s="60" t="s">
        <v>169</v>
      </c>
      <c r="D58" s="24" t="s">
        <v>148</v>
      </c>
      <c r="E58" s="24" t="s">
        <v>146</v>
      </c>
      <c r="F58" s="30">
        <v>3</v>
      </c>
      <c r="G58" s="26">
        <v>1</v>
      </c>
      <c r="H58" s="26">
        <v>1</v>
      </c>
      <c r="K58" s="26">
        <v>5</v>
      </c>
      <c r="L58" s="26">
        <v>6.58</v>
      </c>
      <c r="M58" s="26">
        <f t="shared" si="3"/>
        <v>2.1933333333333334</v>
      </c>
    </row>
    <row r="59" spans="1:13" ht="74.25" x14ac:dyDescent="0.2">
      <c r="A59" s="18">
        <v>57</v>
      </c>
      <c r="B59" s="19">
        <v>85</v>
      </c>
      <c r="C59" s="33" t="s">
        <v>167</v>
      </c>
      <c r="D59" s="20" t="s">
        <v>149</v>
      </c>
      <c r="E59" s="20" t="s">
        <v>147</v>
      </c>
      <c r="F59" s="21">
        <v>3</v>
      </c>
      <c r="G59" s="26">
        <v>1</v>
      </c>
      <c r="H59" s="26">
        <v>1</v>
      </c>
      <c r="K59" s="26">
        <v>5</v>
      </c>
      <c r="L59" s="26">
        <v>8.67</v>
      </c>
      <c r="M59" s="26">
        <f t="shared" si="3"/>
        <v>2.89</v>
      </c>
    </row>
    <row r="60" spans="1:13" ht="112.5" x14ac:dyDescent="0.2">
      <c r="A60" s="18">
        <v>58</v>
      </c>
      <c r="B60" s="19">
        <v>87</v>
      </c>
      <c r="C60" s="33" t="s">
        <v>221</v>
      </c>
      <c r="D60" s="20" t="s">
        <v>142</v>
      </c>
      <c r="E60" s="20" t="s">
        <v>143</v>
      </c>
      <c r="F60" s="21">
        <v>5</v>
      </c>
      <c r="G60" s="26">
        <v>1</v>
      </c>
      <c r="H60" s="26">
        <v>1</v>
      </c>
      <c r="K60" s="26">
        <v>5</v>
      </c>
      <c r="L60" s="26">
        <v>22.92</v>
      </c>
      <c r="M60" s="26">
        <f t="shared" si="3"/>
        <v>4.5840000000000005</v>
      </c>
    </row>
    <row r="61" spans="1:13" ht="93.75" x14ac:dyDescent="0.2">
      <c r="A61" s="28">
        <v>59</v>
      </c>
      <c r="B61" s="29">
        <v>84</v>
      </c>
      <c r="C61" s="60" t="s">
        <v>223</v>
      </c>
      <c r="D61" s="24" t="s">
        <v>224</v>
      </c>
      <c r="E61" s="24" t="s">
        <v>225</v>
      </c>
      <c r="F61" s="30">
        <v>5</v>
      </c>
      <c r="G61" s="26">
        <v>0</v>
      </c>
      <c r="H61" s="26">
        <v>1</v>
      </c>
      <c r="M61" s="26">
        <f t="shared" si="3"/>
        <v>0</v>
      </c>
    </row>
    <row r="62" spans="1:13" ht="75" x14ac:dyDescent="0.2">
      <c r="A62" s="18">
        <v>60</v>
      </c>
      <c r="B62" s="19">
        <v>83</v>
      </c>
      <c r="C62" s="33" t="s">
        <v>226</v>
      </c>
      <c r="D62" s="20" t="s">
        <v>224</v>
      </c>
      <c r="E62" s="20" t="s">
        <v>227</v>
      </c>
      <c r="F62" s="21">
        <v>5</v>
      </c>
      <c r="G62" s="26">
        <v>0</v>
      </c>
      <c r="H62" s="26">
        <v>1</v>
      </c>
      <c r="M62" s="26">
        <f t="shared" si="3"/>
        <v>0</v>
      </c>
    </row>
    <row r="63" spans="1:13" ht="75" x14ac:dyDescent="0.2">
      <c r="A63" s="18">
        <v>61</v>
      </c>
      <c r="B63" s="19">
        <v>82</v>
      </c>
      <c r="C63" s="33" t="s">
        <v>232</v>
      </c>
      <c r="D63" s="20" t="s">
        <v>224</v>
      </c>
      <c r="E63" s="20" t="s">
        <v>228</v>
      </c>
      <c r="F63" s="21">
        <v>5</v>
      </c>
      <c r="G63" s="26">
        <v>0</v>
      </c>
      <c r="H63" s="26">
        <v>1</v>
      </c>
    </row>
    <row r="64" spans="1:13" ht="37.5" x14ac:dyDescent="0.2">
      <c r="A64" s="28">
        <v>62</v>
      </c>
      <c r="B64" s="29">
        <v>81</v>
      </c>
      <c r="C64" s="60" t="s">
        <v>229</v>
      </c>
      <c r="D64" s="24" t="s">
        <v>230</v>
      </c>
      <c r="E64" s="24" t="s">
        <v>231</v>
      </c>
      <c r="F64" s="21">
        <v>5</v>
      </c>
      <c r="G64" s="26">
        <v>0</v>
      </c>
      <c r="H64" s="26">
        <v>1</v>
      </c>
    </row>
    <row r="65" spans="1:8" ht="75" x14ac:dyDescent="0.2">
      <c r="A65" s="31">
        <v>63</v>
      </c>
      <c r="B65" s="29">
        <v>80</v>
      </c>
      <c r="C65" s="24" t="s">
        <v>171</v>
      </c>
      <c r="D65" s="24" t="s">
        <v>174</v>
      </c>
      <c r="E65" s="24" t="s">
        <v>176</v>
      </c>
      <c r="F65" s="21">
        <v>3</v>
      </c>
      <c r="G65" s="26">
        <v>0</v>
      </c>
      <c r="H65" s="26">
        <v>1</v>
      </c>
    </row>
    <row r="66" spans="1:8" ht="75" x14ac:dyDescent="0.2">
      <c r="A66" s="31">
        <v>64</v>
      </c>
      <c r="B66" s="29">
        <v>79</v>
      </c>
      <c r="C66" s="24" t="s">
        <v>173</v>
      </c>
      <c r="D66" s="24" t="s">
        <v>172</v>
      </c>
      <c r="E66" s="24" t="s">
        <v>175</v>
      </c>
      <c r="F66" s="21">
        <v>5</v>
      </c>
      <c r="G66" s="26">
        <v>0</v>
      </c>
      <c r="H66" s="26">
        <v>1</v>
      </c>
    </row>
    <row r="67" spans="1:8" ht="131.25" x14ac:dyDescent="0.2">
      <c r="A67" s="31">
        <v>65</v>
      </c>
      <c r="B67" s="29">
        <v>78</v>
      </c>
      <c r="C67" s="24" t="s">
        <v>177</v>
      </c>
      <c r="D67" s="24" t="s">
        <v>172</v>
      </c>
      <c r="E67" s="24" t="s">
        <v>178</v>
      </c>
      <c r="F67" s="21">
        <v>5</v>
      </c>
      <c r="G67" s="26">
        <v>0</v>
      </c>
      <c r="H67" s="26">
        <v>1</v>
      </c>
    </row>
    <row r="68" spans="1:8" ht="18.75" x14ac:dyDescent="0.2">
      <c r="A68" s="31">
        <v>66</v>
      </c>
      <c r="B68" s="29">
        <v>77</v>
      </c>
      <c r="C68" s="24" t="s">
        <v>222</v>
      </c>
      <c r="D68" s="24" t="s">
        <v>219</v>
      </c>
      <c r="F68" s="21">
        <v>5</v>
      </c>
      <c r="G68" s="26">
        <v>0</v>
      </c>
      <c r="H68" s="26">
        <v>0</v>
      </c>
    </row>
    <row r="69" spans="1:8" ht="75" x14ac:dyDescent="0.2">
      <c r="A69" s="31">
        <v>67</v>
      </c>
      <c r="B69" s="29">
        <v>81</v>
      </c>
      <c r="C69" s="33" t="s">
        <v>233</v>
      </c>
      <c r="E69" s="24" t="s">
        <v>234</v>
      </c>
      <c r="F69" s="21">
        <v>3</v>
      </c>
      <c r="G69" s="26">
        <v>0</v>
      </c>
      <c r="H69" s="26">
        <v>1</v>
      </c>
    </row>
    <row r="70" spans="1:8" x14ac:dyDescent="0.2">
      <c r="F70" s="21"/>
    </row>
    <row r="71" spans="1:8" x14ac:dyDescent="0.2">
      <c r="F71" s="21"/>
    </row>
    <row r="72" spans="1:8" x14ac:dyDescent="0.2">
      <c r="F72" s="21"/>
    </row>
    <row r="73" spans="1:8" x14ac:dyDescent="0.2">
      <c r="F73" s="21"/>
    </row>
    <row r="74" spans="1:8" x14ac:dyDescent="0.2">
      <c r="F74" s="21"/>
    </row>
    <row r="75" spans="1:8" x14ac:dyDescent="0.2">
      <c r="F75" s="21"/>
    </row>
    <row r="76" spans="1:8" x14ac:dyDescent="0.2">
      <c r="F76" s="21"/>
    </row>
    <row r="77" spans="1:8" x14ac:dyDescent="0.2">
      <c r="F77" s="21"/>
    </row>
    <row r="98" spans="3:8" ht="18.75" x14ac:dyDescent="0.2">
      <c r="C98" s="42" t="s">
        <v>75</v>
      </c>
      <c r="D98" s="24">
        <f>SUMIF(B2:B97, "&gt;0", F2:F97)</f>
        <v>202</v>
      </c>
      <c r="E98" s="42" t="s">
        <v>73</v>
      </c>
      <c r="F98" s="32">
        <f>SUM(F2:F97)</f>
        <v>266</v>
      </c>
      <c r="G98" s="43" t="s">
        <v>74</v>
      </c>
      <c r="H98" s="26">
        <f>SUMPRODUCT(F2:F97,G2:G97)</f>
        <v>124</v>
      </c>
    </row>
  </sheetData>
  <autoFilter ref="A1:M68"/>
  <phoneticPr fontId="0" type="noConversion"/>
  <pageMargins left="0" right="0" top="0" bottom="0" header="0" footer="0"/>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Pict="0" macro="[0]!OpenForm">
                <anchor moveWithCells="1">
                  <from>
                    <xdr:col>0</xdr:col>
                    <xdr:colOff>57150</xdr:colOff>
                    <xdr:row>0</xdr:row>
                    <xdr:rowOff>9525</xdr:rowOff>
                  </from>
                  <to>
                    <xdr:col>2</xdr:col>
                    <xdr:colOff>695325</xdr:colOff>
                    <xdr:row>0</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0"/>
  <sheetViews>
    <sheetView topLeftCell="A59" zoomScaleNormal="100" workbookViewId="0">
      <selection activeCell="O62" sqref="O62"/>
    </sheetView>
  </sheetViews>
  <sheetFormatPr defaultColWidth="9.140625" defaultRowHeight="12.75" x14ac:dyDescent="0.2"/>
  <cols>
    <col min="1" max="1" width="3.5703125" customWidth="1"/>
    <col min="2" max="2" width="79.5703125" customWidth="1"/>
    <col min="3" max="3" width="3.140625" customWidth="1"/>
    <col min="4" max="4" width="13.28515625" bestFit="1" customWidth="1"/>
    <col min="5" max="5" width="2" customWidth="1"/>
  </cols>
  <sheetData>
    <row r="1" spans="1:5" s="4" customFormat="1" x14ac:dyDescent="0.2">
      <c r="A1" s="1" t="s">
        <v>188</v>
      </c>
      <c r="B1" s="2"/>
      <c r="C1" s="2"/>
      <c r="D1" s="2"/>
      <c r="E1" s="3"/>
    </row>
    <row r="2" spans="1:5" s="4" customFormat="1" ht="13.5" thickBot="1" x14ac:dyDescent="0.25">
      <c r="A2" s="5"/>
      <c r="B2" s="6"/>
      <c r="C2" s="6"/>
      <c r="D2" s="6" t="s">
        <v>1</v>
      </c>
      <c r="E2" s="7"/>
    </row>
    <row r="3" spans="1:5" s="4" customFormat="1" ht="34.5" customHeight="1" thickBot="1" x14ac:dyDescent="0.25">
      <c r="A3" s="5"/>
      <c r="B3" s="35" t="s">
        <v>189</v>
      </c>
      <c r="C3" s="6"/>
      <c r="D3" s="8">
        <v>84</v>
      </c>
      <c r="E3" s="7"/>
    </row>
    <row r="4" spans="1:5" s="4" customFormat="1" ht="21" customHeight="1" thickBot="1" x14ac:dyDescent="0.25">
      <c r="A4" s="5"/>
      <c r="B4" s="6" t="s">
        <v>2</v>
      </c>
      <c r="C4" s="6"/>
      <c r="D4" s="6" t="s">
        <v>4</v>
      </c>
      <c r="E4" s="7"/>
    </row>
    <row r="5" spans="1:5" s="4" customFormat="1" ht="75" customHeight="1" thickBot="1" x14ac:dyDescent="0.25">
      <c r="A5" s="5"/>
      <c r="B5" s="38" t="s">
        <v>190</v>
      </c>
      <c r="C5" s="6"/>
      <c r="D5" s="9">
        <v>5</v>
      </c>
      <c r="E5" s="7"/>
    </row>
    <row r="6" spans="1:5" s="4" customFormat="1" x14ac:dyDescent="0.2">
      <c r="A6" s="5"/>
      <c r="B6" s="6"/>
      <c r="C6" s="6"/>
      <c r="D6" s="6"/>
      <c r="E6" s="7"/>
    </row>
    <row r="7" spans="1:5" s="4" customFormat="1" ht="13.5" thickBot="1" x14ac:dyDescent="0.25">
      <c r="A7" s="5"/>
      <c r="B7" s="6" t="s">
        <v>5</v>
      </c>
      <c r="C7" s="6"/>
      <c r="D7" s="6" t="s">
        <v>12</v>
      </c>
      <c r="E7" s="7"/>
    </row>
    <row r="8" spans="1:5" s="4" customFormat="1" ht="76.5" customHeight="1" thickBot="1" x14ac:dyDescent="0.25">
      <c r="A8" s="5"/>
      <c r="B8" s="38" t="s">
        <v>191</v>
      </c>
      <c r="C8" s="6"/>
      <c r="D8" s="10">
        <v>1</v>
      </c>
      <c r="E8" s="7"/>
    </row>
    <row r="9" spans="1:5" s="4" customFormat="1" ht="13.5" thickBot="1" x14ac:dyDescent="0.25">
      <c r="A9" s="11"/>
      <c r="B9" s="12"/>
      <c r="C9" s="12"/>
      <c r="D9" s="12"/>
      <c r="E9" s="13"/>
    </row>
    <row r="10" spans="1:5" s="4" customFormat="1" x14ac:dyDescent="0.2">
      <c r="A10" s="1" t="s">
        <v>192</v>
      </c>
      <c r="B10" s="2"/>
      <c r="C10" s="2"/>
      <c r="D10" s="2"/>
      <c r="E10" s="3"/>
    </row>
    <row r="11" spans="1:5" s="4" customFormat="1" ht="13.5" thickBot="1" x14ac:dyDescent="0.25">
      <c r="A11" s="5"/>
      <c r="B11" s="6"/>
      <c r="C11" s="6"/>
      <c r="D11" s="6" t="s">
        <v>1</v>
      </c>
      <c r="E11" s="7"/>
    </row>
    <row r="12" spans="1:5" s="4" customFormat="1" ht="34.5" customHeight="1" thickBot="1" x14ac:dyDescent="0.25">
      <c r="A12" s="5"/>
      <c r="B12" s="35" t="s">
        <v>193</v>
      </c>
      <c r="C12" s="6"/>
      <c r="D12" s="8">
        <v>83</v>
      </c>
      <c r="E12" s="7"/>
    </row>
    <row r="13" spans="1:5" s="4" customFormat="1" ht="21" customHeight="1" thickBot="1" x14ac:dyDescent="0.25">
      <c r="A13" s="5"/>
      <c r="B13" s="6" t="s">
        <v>2</v>
      </c>
      <c r="C13" s="6"/>
      <c r="D13" s="6" t="s">
        <v>4</v>
      </c>
      <c r="E13" s="7"/>
    </row>
    <row r="14" spans="1:5" s="4" customFormat="1" ht="75" customHeight="1" thickBot="1" x14ac:dyDescent="0.25">
      <c r="A14" s="5"/>
      <c r="B14" s="38" t="s">
        <v>194</v>
      </c>
      <c r="C14" s="6"/>
      <c r="D14" s="9">
        <v>5</v>
      </c>
      <c r="E14" s="7"/>
    </row>
    <row r="15" spans="1:5" s="4" customFormat="1" x14ac:dyDescent="0.2">
      <c r="A15" s="5"/>
      <c r="B15" s="6"/>
      <c r="C15" s="6"/>
      <c r="D15" s="6"/>
      <c r="E15" s="7"/>
    </row>
    <row r="16" spans="1:5" s="4" customFormat="1" ht="13.5" thickBot="1" x14ac:dyDescent="0.25">
      <c r="A16" s="5"/>
      <c r="B16" s="6" t="s">
        <v>5</v>
      </c>
      <c r="C16" s="6"/>
      <c r="D16" s="6" t="s">
        <v>12</v>
      </c>
      <c r="E16" s="7"/>
    </row>
    <row r="17" spans="1:5" s="4" customFormat="1" ht="76.5" customHeight="1" thickBot="1" x14ac:dyDescent="0.25">
      <c r="A17" s="5"/>
      <c r="B17" s="38"/>
      <c r="C17" s="6"/>
      <c r="D17" s="10">
        <v>1</v>
      </c>
      <c r="E17" s="7"/>
    </row>
    <row r="18" spans="1:5" s="4" customFormat="1" ht="13.5" thickBot="1" x14ac:dyDescent="0.25">
      <c r="A18" s="11"/>
      <c r="B18" s="12"/>
      <c r="C18" s="12"/>
      <c r="D18" s="12"/>
      <c r="E18" s="13"/>
    </row>
    <row r="19" spans="1:5" s="4" customFormat="1" x14ac:dyDescent="0.2">
      <c r="A19" s="1" t="s">
        <v>195</v>
      </c>
      <c r="B19" s="2"/>
      <c r="C19" s="2"/>
      <c r="D19" s="2"/>
      <c r="E19" s="3"/>
    </row>
    <row r="20" spans="1:5" s="4" customFormat="1" ht="13.5" thickBot="1" x14ac:dyDescent="0.25">
      <c r="A20" s="5"/>
      <c r="B20" s="6"/>
      <c r="C20" s="6"/>
      <c r="D20" s="6" t="s">
        <v>1</v>
      </c>
      <c r="E20" s="7"/>
    </row>
    <row r="21" spans="1:5" s="4" customFormat="1" ht="34.5" customHeight="1" thickBot="1" x14ac:dyDescent="0.25">
      <c r="A21" s="5"/>
      <c r="B21" s="35" t="s">
        <v>196</v>
      </c>
      <c r="C21" s="6"/>
      <c r="D21" s="8">
        <v>82</v>
      </c>
      <c r="E21" s="7"/>
    </row>
    <row r="22" spans="1:5" s="4" customFormat="1" ht="21" customHeight="1" thickBot="1" x14ac:dyDescent="0.25">
      <c r="A22" s="5"/>
      <c r="B22" s="6" t="s">
        <v>2</v>
      </c>
      <c r="C22" s="6"/>
      <c r="D22" s="6" t="s">
        <v>4</v>
      </c>
      <c r="E22" s="7"/>
    </row>
    <row r="23" spans="1:5" s="4" customFormat="1" ht="75" customHeight="1" thickBot="1" x14ac:dyDescent="0.25">
      <c r="A23" s="5"/>
      <c r="B23" s="38" t="s">
        <v>197</v>
      </c>
      <c r="C23" s="6"/>
      <c r="D23" s="9">
        <v>5</v>
      </c>
      <c r="E23" s="7"/>
    </row>
    <row r="24" spans="1:5" s="4" customFormat="1" x14ac:dyDescent="0.2">
      <c r="A24" s="5"/>
      <c r="B24" s="6"/>
      <c r="C24" s="6"/>
      <c r="D24" s="6"/>
      <c r="E24" s="7"/>
    </row>
    <row r="25" spans="1:5" s="4" customFormat="1" ht="13.5" thickBot="1" x14ac:dyDescent="0.25">
      <c r="A25" s="5"/>
      <c r="B25" s="6" t="s">
        <v>5</v>
      </c>
      <c r="C25" s="6"/>
      <c r="D25" s="6" t="s">
        <v>12</v>
      </c>
      <c r="E25" s="7"/>
    </row>
    <row r="26" spans="1:5" s="4" customFormat="1" ht="76.5" customHeight="1" thickBot="1" x14ac:dyDescent="0.25">
      <c r="A26" s="5"/>
      <c r="B26" s="38" t="s">
        <v>198</v>
      </c>
      <c r="C26" s="6"/>
      <c r="D26" s="10">
        <v>0</v>
      </c>
      <c r="E26" s="7"/>
    </row>
    <row r="27" spans="1:5" s="4" customFormat="1" ht="13.5" thickBot="1" x14ac:dyDescent="0.25">
      <c r="A27" s="11"/>
      <c r="B27" s="12"/>
      <c r="C27" s="12"/>
      <c r="D27" s="12"/>
      <c r="E27" s="13"/>
    </row>
    <row r="28" spans="1:5" s="4" customFormat="1" x14ac:dyDescent="0.2">
      <c r="A28" s="1" t="s">
        <v>199</v>
      </c>
      <c r="B28" s="2"/>
      <c r="C28" s="2"/>
      <c r="D28" s="2"/>
      <c r="E28" s="3"/>
    </row>
    <row r="29" spans="1:5" s="4" customFormat="1" ht="13.5" thickBot="1" x14ac:dyDescent="0.25">
      <c r="A29" s="5"/>
      <c r="B29" s="6"/>
      <c r="C29" s="6"/>
      <c r="D29" s="6" t="s">
        <v>1</v>
      </c>
      <c r="E29" s="7"/>
    </row>
    <row r="30" spans="1:5" s="4" customFormat="1" ht="34.5" customHeight="1" thickBot="1" x14ac:dyDescent="0.25">
      <c r="A30" s="5"/>
      <c r="B30" s="35" t="s">
        <v>200</v>
      </c>
      <c r="C30" s="6"/>
      <c r="D30" s="8">
        <v>82</v>
      </c>
      <c r="E30" s="7"/>
    </row>
    <row r="31" spans="1:5" s="4" customFormat="1" ht="21" customHeight="1" thickBot="1" x14ac:dyDescent="0.25">
      <c r="A31" s="5"/>
      <c r="B31" s="6" t="s">
        <v>2</v>
      </c>
      <c r="C31" s="6"/>
      <c r="D31" s="6" t="s">
        <v>4</v>
      </c>
      <c r="E31" s="7"/>
    </row>
    <row r="32" spans="1:5" s="4" customFormat="1" ht="75" customHeight="1" thickBot="1" x14ac:dyDescent="0.25">
      <c r="A32" s="5"/>
      <c r="B32" s="38" t="s">
        <v>194</v>
      </c>
      <c r="C32" s="6"/>
      <c r="D32" s="9">
        <v>5</v>
      </c>
      <c r="E32" s="7"/>
    </row>
    <row r="33" spans="1:5" s="4" customFormat="1" x14ac:dyDescent="0.2">
      <c r="A33" s="5"/>
      <c r="B33" s="6"/>
      <c r="C33" s="6"/>
      <c r="D33" s="6"/>
      <c r="E33" s="7"/>
    </row>
    <row r="34" spans="1:5" s="4" customFormat="1" ht="13.5" thickBot="1" x14ac:dyDescent="0.25">
      <c r="A34" s="5"/>
      <c r="B34" s="6" t="s">
        <v>5</v>
      </c>
      <c r="C34" s="6"/>
      <c r="D34" s="6" t="s">
        <v>12</v>
      </c>
      <c r="E34" s="7"/>
    </row>
    <row r="35" spans="1:5" s="4" customFormat="1" ht="76.5" customHeight="1" thickBot="1" x14ac:dyDescent="0.25">
      <c r="A35" s="5"/>
      <c r="B35" s="38"/>
      <c r="C35" s="6"/>
      <c r="D35" s="10">
        <v>1</v>
      </c>
      <c r="E35" s="7"/>
    </row>
    <row r="36" spans="1:5" s="4" customFormat="1" ht="13.5" thickBot="1" x14ac:dyDescent="0.25">
      <c r="A36" s="11"/>
      <c r="B36" s="12"/>
      <c r="C36" s="12"/>
      <c r="D36" s="12"/>
      <c r="E36" s="13"/>
    </row>
    <row r="37" spans="1:5" s="4" customFormat="1" x14ac:dyDescent="0.2">
      <c r="A37" s="1" t="s">
        <v>201</v>
      </c>
      <c r="B37" s="2"/>
      <c r="C37" s="2"/>
      <c r="D37" s="2"/>
      <c r="E37" s="3"/>
    </row>
    <row r="38" spans="1:5" s="4" customFormat="1" ht="13.5" thickBot="1" x14ac:dyDescent="0.25">
      <c r="A38" s="5"/>
      <c r="B38" s="6"/>
      <c r="C38" s="6"/>
      <c r="D38" s="6" t="s">
        <v>1</v>
      </c>
      <c r="E38" s="7"/>
    </row>
    <row r="39" spans="1:5" s="4" customFormat="1" ht="34.5" customHeight="1" thickBot="1" x14ac:dyDescent="0.25">
      <c r="A39" s="5"/>
      <c r="B39" s="35" t="s">
        <v>202</v>
      </c>
      <c r="C39" s="6"/>
      <c r="D39" s="8">
        <v>81</v>
      </c>
      <c r="E39" s="7"/>
    </row>
    <row r="40" spans="1:5" s="4" customFormat="1" ht="21" customHeight="1" thickBot="1" x14ac:dyDescent="0.25">
      <c r="A40" s="5"/>
      <c r="B40" s="6" t="s">
        <v>2</v>
      </c>
      <c r="C40" s="6"/>
      <c r="D40" s="6" t="s">
        <v>4</v>
      </c>
      <c r="E40" s="7"/>
    </row>
    <row r="41" spans="1:5" s="4" customFormat="1" ht="75" customHeight="1" thickBot="1" x14ac:dyDescent="0.25">
      <c r="A41" s="5"/>
      <c r="B41" s="38" t="s">
        <v>203</v>
      </c>
      <c r="C41" s="6"/>
      <c r="D41" s="9">
        <v>5</v>
      </c>
      <c r="E41" s="7"/>
    </row>
    <row r="42" spans="1:5" s="4" customFormat="1" x14ac:dyDescent="0.2">
      <c r="A42" s="5"/>
      <c r="B42" s="6"/>
      <c r="C42" s="6"/>
      <c r="D42" s="6"/>
      <c r="E42" s="7"/>
    </row>
    <row r="43" spans="1:5" s="4" customFormat="1" ht="13.5" thickBot="1" x14ac:dyDescent="0.25">
      <c r="A43" s="5"/>
      <c r="B43" s="6" t="s">
        <v>5</v>
      </c>
      <c r="C43" s="6"/>
      <c r="D43" s="6" t="s">
        <v>12</v>
      </c>
      <c r="E43" s="7"/>
    </row>
    <row r="44" spans="1:5" s="4" customFormat="1" ht="76.5" customHeight="1" thickBot="1" x14ac:dyDescent="0.25">
      <c r="A44" s="5"/>
      <c r="B44" s="38"/>
      <c r="C44" s="6"/>
      <c r="D44" s="10">
        <v>1</v>
      </c>
      <c r="E44" s="7"/>
    </row>
    <row r="45" spans="1:5" s="4" customFormat="1" ht="13.5" thickBot="1" x14ac:dyDescent="0.25">
      <c r="A45" s="11"/>
      <c r="B45" s="12"/>
      <c r="C45" s="12"/>
      <c r="D45" s="12"/>
      <c r="E45" s="13"/>
    </row>
    <row r="46" spans="1:5" s="4" customFormat="1" x14ac:dyDescent="0.2">
      <c r="A46" s="1" t="s">
        <v>204</v>
      </c>
      <c r="B46" s="2"/>
      <c r="C46" s="2"/>
      <c r="D46" s="2"/>
      <c r="E46" s="3"/>
    </row>
    <row r="47" spans="1:5" s="4" customFormat="1" ht="13.5" thickBot="1" x14ac:dyDescent="0.25">
      <c r="A47" s="5"/>
      <c r="B47" s="6"/>
      <c r="C47" s="6"/>
      <c r="D47" s="6" t="s">
        <v>1</v>
      </c>
      <c r="E47" s="7"/>
    </row>
    <row r="48" spans="1:5" s="4" customFormat="1" ht="34.5" customHeight="1" thickBot="1" x14ac:dyDescent="0.25">
      <c r="A48" s="5"/>
      <c r="B48" s="35" t="s">
        <v>205</v>
      </c>
      <c r="C48" s="6"/>
      <c r="D48" s="8">
        <v>81</v>
      </c>
      <c r="E48" s="7"/>
    </row>
    <row r="49" spans="1:5" s="4" customFormat="1" ht="21" customHeight="1" thickBot="1" x14ac:dyDescent="0.25">
      <c r="A49" s="5"/>
      <c r="B49" s="6" t="s">
        <v>2</v>
      </c>
      <c r="C49" s="6"/>
      <c r="D49" s="6" t="s">
        <v>4</v>
      </c>
      <c r="E49" s="7"/>
    </row>
    <row r="50" spans="1:5" s="4" customFormat="1" ht="75" customHeight="1" thickBot="1" x14ac:dyDescent="0.25">
      <c r="A50" s="5"/>
      <c r="B50" s="38" t="s">
        <v>197</v>
      </c>
      <c r="C50" s="6"/>
      <c r="D50" s="9">
        <v>3</v>
      </c>
      <c r="E50" s="7"/>
    </row>
    <row r="51" spans="1:5" s="4" customFormat="1" x14ac:dyDescent="0.2">
      <c r="A51" s="5"/>
      <c r="B51" s="6"/>
      <c r="C51" s="6"/>
      <c r="D51" s="6"/>
      <c r="E51" s="7"/>
    </row>
    <row r="52" spans="1:5" s="4" customFormat="1" ht="13.5" thickBot="1" x14ac:dyDescent="0.25">
      <c r="A52" s="5"/>
      <c r="B52" s="6" t="s">
        <v>5</v>
      </c>
      <c r="C52" s="6"/>
      <c r="D52" s="6" t="s">
        <v>12</v>
      </c>
      <c r="E52" s="7"/>
    </row>
    <row r="53" spans="1:5" s="4" customFormat="1" ht="76.5" customHeight="1" thickBot="1" x14ac:dyDescent="0.25">
      <c r="A53" s="5"/>
      <c r="B53" s="38" t="s">
        <v>206</v>
      </c>
      <c r="C53" s="6"/>
      <c r="D53" s="10">
        <v>0</v>
      </c>
      <c r="E53" s="7"/>
    </row>
    <row r="54" spans="1:5" s="4" customFormat="1" ht="13.5" thickBot="1" x14ac:dyDescent="0.25">
      <c r="A54" s="11"/>
      <c r="B54" s="12"/>
      <c r="C54" s="12"/>
      <c r="D54" s="12"/>
      <c r="E54" s="13"/>
    </row>
    <row r="55" spans="1:5" s="4" customFormat="1" x14ac:dyDescent="0.2">
      <c r="A55" s="1" t="s">
        <v>207</v>
      </c>
      <c r="B55" s="2"/>
      <c r="C55" s="2"/>
      <c r="D55" s="2"/>
      <c r="E55" s="3"/>
    </row>
    <row r="56" spans="1:5" s="4" customFormat="1" ht="13.5" thickBot="1" x14ac:dyDescent="0.25">
      <c r="A56" s="5"/>
      <c r="B56" s="6"/>
      <c r="C56" s="6"/>
      <c r="D56" s="6" t="s">
        <v>1</v>
      </c>
      <c r="E56" s="7"/>
    </row>
    <row r="57" spans="1:5" s="4" customFormat="1" ht="34.5" customHeight="1" thickBot="1" x14ac:dyDescent="0.25">
      <c r="A57" s="5"/>
      <c r="B57" s="35" t="s">
        <v>208</v>
      </c>
      <c r="C57" s="6"/>
      <c r="D57" s="8">
        <v>80</v>
      </c>
      <c r="E57" s="7"/>
    </row>
    <row r="58" spans="1:5" s="4" customFormat="1" ht="21" customHeight="1" thickBot="1" x14ac:dyDescent="0.25">
      <c r="A58" s="5"/>
      <c r="B58" s="6" t="s">
        <v>2</v>
      </c>
      <c r="C58" s="6"/>
      <c r="D58" s="6" t="s">
        <v>4</v>
      </c>
      <c r="E58" s="7"/>
    </row>
    <row r="59" spans="1:5" s="4" customFormat="1" ht="75" customHeight="1" thickBot="1" x14ac:dyDescent="0.25">
      <c r="A59" s="5"/>
      <c r="B59" s="38" t="s">
        <v>209</v>
      </c>
      <c r="C59" s="6"/>
      <c r="D59" s="9">
        <v>3</v>
      </c>
      <c r="E59" s="7"/>
    </row>
    <row r="60" spans="1:5" s="4" customFormat="1" x14ac:dyDescent="0.2">
      <c r="A60" s="5"/>
      <c r="B60" s="6"/>
      <c r="C60" s="6"/>
      <c r="D60" s="6"/>
      <c r="E60" s="7"/>
    </row>
    <row r="61" spans="1:5" s="4" customFormat="1" ht="13.5" thickBot="1" x14ac:dyDescent="0.25">
      <c r="A61" s="5"/>
      <c r="B61" s="6" t="s">
        <v>5</v>
      </c>
      <c r="C61" s="6"/>
      <c r="D61" s="6" t="s">
        <v>12</v>
      </c>
      <c r="E61" s="7"/>
    </row>
    <row r="62" spans="1:5" s="4" customFormat="1" ht="76.5" customHeight="1" thickBot="1" x14ac:dyDescent="0.25">
      <c r="A62" s="5"/>
      <c r="B62" s="38" t="s">
        <v>210</v>
      </c>
      <c r="C62" s="6"/>
      <c r="D62" s="10">
        <v>1</v>
      </c>
      <c r="E62" s="7"/>
    </row>
    <row r="63" spans="1:5" s="4" customFormat="1" ht="13.5" thickBot="1" x14ac:dyDescent="0.25">
      <c r="A63" s="11"/>
      <c r="B63" s="12"/>
      <c r="C63" s="12"/>
      <c r="D63" s="12"/>
      <c r="E63" s="13"/>
    </row>
    <row r="64" spans="1:5" s="4" customFormat="1" x14ac:dyDescent="0.2">
      <c r="A64" s="1" t="s">
        <v>211</v>
      </c>
      <c r="B64" s="2"/>
      <c r="C64" s="2"/>
      <c r="D64" s="2"/>
      <c r="E64" s="3"/>
    </row>
    <row r="65" spans="1:5" s="4" customFormat="1" ht="13.5" thickBot="1" x14ac:dyDescent="0.25">
      <c r="A65" s="5"/>
      <c r="B65" s="6"/>
      <c r="C65" s="6"/>
      <c r="D65" s="6" t="s">
        <v>1</v>
      </c>
      <c r="E65" s="7"/>
    </row>
    <row r="66" spans="1:5" s="4" customFormat="1" ht="34.5" customHeight="1" thickBot="1" x14ac:dyDescent="0.25">
      <c r="A66" s="5"/>
      <c r="B66" s="35" t="s">
        <v>212</v>
      </c>
      <c r="C66" s="6"/>
      <c r="D66" s="8">
        <v>79</v>
      </c>
      <c r="E66" s="7"/>
    </row>
    <row r="67" spans="1:5" s="4" customFormat="1" ht="21" customHeight="1" thickBot="1" x14ac:dyDescent="0.25">
      <c r="A67" s="5"/>
      <c r="B67" s="6" t="s">
        <v>2</v>
      </c>
      <c r="C67" s="6"/>
      <c r="D67" s="6" t="s">
        <v>4</v>
      </c>
      <c r="E67" s="7"/>
    </row>
    <row r="68" spans="1:5" s="4" customFormat="1" ht="75" customHeight="1" thickBot="1" x14ac:dyDescent="0.25">
      <c r="A68" s="5"/>
      <c r="B68" s="38" t="s">
        <v>194</v>
      </c>
      <c r="C68" s="6"/>
      <c r="D68" s="9">
        <v>5</v>
      </c>
      <c r="E68" s="7"/>
    </row>
    <row r="69" spans="1:5" s="4" customFormat="1" x14ac:dyDescent="0.2">
      <c r="A69" s="5"/>
      <c r="B69" s="6"/>
      <c r="C69" s="6"/>
      <c r="D69" s="6"/>
      <c r="E69" s="7"/>
    </row>
    <row r="70" spans="1:5" s="4" customFormat="1" ht="13.5" thickBot="1" x14ac:dyDescent="0.25">
      <c r="A70" s="5"/>
      <c r="B70" s="6" t="s">
        <v>5</v>
      </c>
      <c r="C70" s="6"/>
      <c r="D70" s="6" t="s">
        <v>12</v>
      </c>
      <c r="E70" s="7"/>
    </row>
    <row r="71" spans="1:5" s="4" customFormat="1" ht="76.5" customHeight="1" thickBot="1" x14ac:dyDescent="0.25">
      <c r="A71" s="5"/>
      <c r="B71" s="38" t="s">
        <v>213</v>
      </c>
      <c r="C71" s="6"/>
      <c r="D71" s="10">
        <v>1</v>
      </c>
      <c r="E71" s="7"/>
    </row>
    <row r="72" spans="1:5" s="4" customFormat="1" ht="13.5" thickBot="1" x14ac:dyDescent="0.25">
      <c r="A72" s="11"/>
      <c r="B72" s="12"/>
      <c r="C72" s="12"/>
      <c r="D72" s="12"/>
      <c r="E72" s="13"/>
    </row>
    <row r="73" spans="1:5" s="4" customFormat="1" x14ac:dyDescent="0.2">
      <c r="A73" s="1" t="s">
        <v>214</v>
      </c>
      <c r="B73" s="2"/>
      <c r="C73" s="2"/>
      <c r="D73" s="2"/>
      <c r="E73" s="3"/>
    </row>
    <row r="74" spans="1:5" s="4" customFormat="1" ht="13.5" thickBot="1" x14ac:dyDescent="0.25">
      <c r="A74" s="5"/>
      <c r="B74" s="6"/>
      <c r="C74" s="6"/>
      <c r="D74" s="6" t="s">
        <v>1</v>
      </c>
      <c r="E74" s="7"/>
    </row>
    <row r="75" spans="1:5" s="4" customFormat="1" ht="34.5" customHeight="1" thickBot="1" x14ac:dyDescent="0.25">
      <c r="A75" s="5"/>
      <c r="B75" s="35" t="s">
        <v>215</v>
      </c>
      <c r="C75" s="6"/>
      <c r="D75" s="8">
        <v>78</v>
      </c>
      <c r="E75" s="7"/>
    </row>
    <row r="76" spans="1:5" s="4" customFormat="1" ht="21" customHeight="1" thickBot="1" x14ac:dyDescent="0.25">
      <c r="A76" s="5"/>
      <c r="B76" s="6" t="s">
        <v>2</v>
      </c>
      <c r="C76" s="6"/>
      <c r="D76" s="6" t="s">
        <v>4</v>
      </c>
      <c r="E76" s="7"/>
    </row>
    <row r="77" spans="1:5" s="4" customFormat="1" ht="75" customHeight="1" thickBot="1" x14ac:dyDescent="0.25">
      <c r="A77" s="5"/>
      <c r="B77" s="38" t="s">
        <v>194</v>
      </c>
      <c r="C77" s="6"/>
      <c r="D77" s="9">
        <v>5</v>
      </c>
      <c r="E77" s="7"/>
    </row>
    <row r="78" spans="1:5" s="4" customFormat="1" x14ac:dyDescent="0.2">
      <c r="A78" s="5"/>
      <c r="B78" s="6"/>
      <c r="C78" s="6"/>
      <c r="D78" s="6"/>
      <c r="E78" s="7"/>
    </row>
    <row r="79" spans="1:5" s="4" customFormat="1" ht="13.5" thickBot="1" x14ac:dyDescent="0.25">
      <c r="A79" s="5"/>
      <c r="B79" s="6" t="s">
        <v>5</v>
      </c>
      <c r="C79" s="6"/>
      <c r="D79" s="6" t="s">
        <v>12</v>
      </c>
      <c r="E79" s="7"/>
    </row>
    <row r="80" spans="1:5" s="4" customFormat="1" ht="76.5" customHeight="1" thickBot="1" x14ac:dyDescent="0.25">
      <c r="A80" s="5"/>
      <c r="B80" s="38" t="s">
        <v>216</v>
      </c>
      <c r="C80" s="6"/>
      <c r="D80" s="10">
        <v>1</v>
      </c>
      <c r="E80" s="7"/>
    </row>
    <row r="81" spans="1:5" s="4" customFormat="1" ht="13.5" thickBot="1" x14ac:dyDescent="0.25">
      <c r="A81" s="11"/>
      <c r="B81" s="12"/>
      <c r="C81" s="12"/>
      <c r="D81" s="12"/>
      <c r="E81" s="13"/>
    </row>
    <row r="82" spans="1:5" s="4" customFormat="1" x14ac:dyDescent="0.2">
      <c r="A82" s="1" t="s">
        <v>217</v>
      </c>
      <c r="B82" s="2"/>
      <c r="C82" s="2"/>
      <c r="D82" s="2"/>
      <c r="E82" s="3"/>
    </row>
    <row r="83" spans="1:5" s="4" customFormat="1" ht="13.5" thickBot="1" x14ac:dyDescent="0.25">
      <c r="A83" s="5"/>
      <c r="B83" s="6"/>
      <c r="C83" s="6"/>
      <c r="D83" s="6" t="s">
        <v>1</v>
      </c>
      <c r="E83" s="7"/>
    </row>
    <row r="84" spans="1:5" s="4" customFormat="1" ht="34.5" customHeight="1" thickBot="1" x14ac:dyDescent="0.25">
      <c r="A84" s="5"/>
      <c r="B84" s="35" t="s">
        <v>218</v>
      </c>
      <c r="C84" s="6"/>
      <c r="D84" s="8">
        <v>68</v>
      </c>
      <c r="E84" s="7"/>
    </row>
    <row r="85" spans="1:5" s="4" customFormat="1" ht="21" customHeight="1" thickBot="1" x14ac:dyDescent="0.25">
      <c r="A85" s="5"/>
      <c r="B85" s="6" t="s">
        <v>2</v>
      </c>
      <c r="C85" s="6"/>
      <c r="D85" s="6" t="s">
        <v>4</v>
      </c>
      <c r="E85" s="7"/>
    </row>
    <row r="86" spans="1:5" s="4" customFormat="1" ht="75" customHeight="1" thickBot="1" x14ac:dyDescent="0.25">
      <c r="A86" s="5"/>
      <c r="B86" s="38"/>
      <c r="C86" s="6"/>
      <c r="D86" s="9">
        <v>5</v>
      </c>
      <c r="E86" s="7"/>
    </row>
    <row r="87" spans="1:5" s="4" customFormat="1" x14ac:dyDescent="0.2">
      <c r="A87" s="5"/>
      <c r="B87" s="6"/>
      <c r="C87" s="6"/>
      <c r="D87" s="6"/>
      <c r="E87" s="7"/>
    </row>
    <row r="88" spans="1:5" s="4" customFormat="1" ht="13.5" thickBot="1" x14ac:dyDescent="0.25">
      <c r="A88" s="5"/>
      <c r="B88" s="6" t="s">
        <v>5</v>
      </c>
      <c r="C88" s="6"/>
      <c r="D88" s="6" t="s">
        <v>12</v>
      </c>
      <c r="E88" s="7"/>
    </row>
    <row r="89" spans="1:5" s="4" customFormat="1" ht="76.5" customHeight="1" thickBot="1" x14ac:dyDescent="0.25">
      <c r="A89" s="5"/>
      <c r="B89" s="38"/>
      <c r="C89" s="6"/>
      <c r="D89" s="10">
        <v>1</v>
      </c>
      <c r="E89" s="7"/>
    </row>
    <row r="90" spans="1:5" s="4" customFormat="1" ht="13.5" thickBot="1" x14ac:dyDescent="0.25">
      <c r="A90" s="11"/>
      <c r="B90" s="12"/>
      <c r="C90" s="12"/>
      <c r="D90" s="12"/>
      <c r="E90" s="13"/>
    </row>
  </sheetData>
  <phoneticPr fontId="2" type="noConversion"/>
  <conditionalFormatting sqref="D8">
    <cfRule type="cellIs" dxfId="21" priority="19" stopIfTrue="1" operator="equal">
      <formula>0</formula>
    </cfRule>
    <cfRule type="cellIs" dxfId="20" priority="20" stopIfTrue="1" operator="equal">
      <formula>1</formula>
    </cfRule>
  </conditionalFormatting>
  <conditionalFormatting sqref="D17">
    <cfRule type="cellIs" dxfId="19" priority="17" stopIfTrue="1" operator="equal">
      <formula>0</formula>
    </cfRule>
    <cfRule type="cellIs" dxfId="18" priority="18" stopIfTrue="1" operator="equal">
      <formula>1</formula>
    </cfRule>
  </conditionalFormatting>
  <conditionalFormatting sqref="D26">
    <cfRule type="cellIs" dxfId="17" priority="15" stopIfTrue="1" operator="equal">
      <formula>0</formula>
    </cfRule>
    <cfRule type="cellIs" dxfId="16" priority="16" stopIfTrue="1" operator="equal">
      <formula>1</formula>
    </cfRule>
  </conditionalFormatting>
  <conditionalFormatting sqref="D35">
    <cfRule type="cellIs" dxfId="15" priority="13" stopIfTrue="1" operator="equal">
      <formula>0</formula>
    </cfRule>
    <cfRule type="cellIs" dxfId="14" priority="14" stopIfTrue="1" operator="equal">
      <formula>1</formula>
    </cfRule>
  </conditionalFormatting>
  <conditionalFormatting sqref="D44">
    <cfRule type="cellIs" dxfId="13" priority="11" stopIfTrue="1" operator="equal">
      <formula>0</formula>
    </cfRule>
    <cfRule type="cellIs" dxfId="12" priority="12" stopIfTrue="1" operator="equal">
      <formula>1</formula>
    </cfRule>
  </conditionalFormatting>
  <conditionalFormatting sqref="D53">
    <cfRule type="cellIs" dxfId="11" priority="9" stopIfTrue="1" operator="equal">
      <formula>0</formula>
    </cfRule>
    <cfRule type="cellIs" dxfId="10" priority="10" stopIfTrue="1" operator="equal">
      <formula>1</formula>
    </cfRule>
  </conditionalFormatting>
  <conditionalFormatting sqref="D62">
    <cfRule type="cellIs" dxfId="9" priority="7" stopIfTrue="1" operator="equal">
      <formula>0</formula>
    </cfRule>
    <cfRule type="cellIs" dxfId="8" priority="8" stopIfTrue="1" operator="equal">
      <formula>1</formula>
    </cfRule>
  </conditionalFormatting>
  <conditionalFormatting sqref="D71">
    <cfRule type="cellIs" dxfId="7" priority="5" stopIfTrue="1" operator="equal">
      <formula>0</formula>
    </cfRule>
    <cfRule type="cellIs" dxfId="6" priority="6" stopIfTrue="1" operator="equal">
      <formula>1</formula>
    </cfRule>
  </conditionalFormatting>
  <conditionalFormatting sqref="D80">
    <cfRule type="cellIs" dxfId="5" priority="3" stopIfTrue="1" operator="equal">
      <formula>0</formula>
    </cfRule>
    <cfRule type="cellIs" dxfId="4" priority="4" stopIfTrue="1" operator="equal">
      <formula>1</formula>
    </cfRule>
  </conditionalFormatting>
  <conditionalFormatting sqref="D89">
    <cfRule type="cellIs" dxfId="3" priority="1" stopIfTrue="1" operator="equal">
      <formula>0</formula>
    </cfRule>
    <cfRule type="cellIs" dxfId="2" priority="2" stopIfTrue="1" operator="equal">
      <formula>1</formula>
    </cfRule>
  </conditionalFormatting>
  <pageMargins left="0" right="0" top="0" bottom="0" header="0" footer="0"/>
  <pageSetup paperSize="9" orientation="portrait" r:id="rId1"/>
  <rowBreaks count="3" manualBreakCount="3">
    <brk id="27" max="16383" man="1"/>
    <brk id="54" max="16383" man="1"/>
    <brk id="81"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9"/>
  <sheetViews>
    <sheetView zoomScaleNormal="100" workbookViewId="0">
      <selection sqref="A1:XFD9"/>
    </sheetView>
  </sheetViews>
  <sheetFormatPr defaultColWidth="9.140625" defaultRowHeight="12.75" x14ac:dyDescent="0.2"/>
  <cols>
    <col min="1" max="1" width="3.5703125" customWidth="1"/>
    <col min="2" max="2" width="79.5703125" customWidth="1"/>
    <col min="3" max="3" width="3.140625" customWidth="1"/>
    <col min="4" max="4" width="13.28515625" bestFit="1" customWidth="1"/>
    <col min="5" max="5" width="2" customWidth="1"/>
  </cols>
  <sheetData>
    <row r="1" spans="1:5" s="4" customFormat="1" x14ac:dyDescent="0.2">
      <c r="A1" s="1" t="s">
        <v>3</v>
      </c>
      <c r="B1" s="2"/>
      <c r="C1" s="2"/>
      <c r="D1" s="2"/>
      <c r="E1" s="3"/>
    </row>
    <row r="2" spans="1:5" s="4" customFormat="1" ht="13.5" thickBot="1" x14ac:dyDescent="0.25">
      <c r="A2" s="5"/>
      <c r="B2" s="6"/>
      <c r="C2" s="6"/>
      <c r="D2" s="6" t="s">
        <v>1</v>
      </c>
      <c r="E2" s="7"/>
    </row>
    <row r="3" spans="1:5" s="4" customFormat="1" ht="34.5" customHeight="1" thickBot="1" x14ac:dyDescent="0.25">
      <c r="A3" s="5"/>
      <c r="B3" s="35" t="s">
        <v>6</v>
      </c>
      <c r="C3" s="6"/>
      <c r="D3" s="8">
        <v>0</v>
      </c>
      <c r="E3" s="7"/>
    </row>
    <row r="4" spans="1:5" s="4" customFormat="1" ht="21" customHeight="1" thickBot="1" x14ac:dyDescent="0.25">
      <c r="A4" s="5"/>
      <c r="B4" s="6" t="s">
        <v>2</v>
      </c>
      <c r="C4" s="6"/>
      <c r="D4" s="6" t="s">
        <v>4</v>
      </c>
      <c r="E4" s="7"/>
    </row>
    <row r="5" spans="1:5" s="4" customFormat="1" ht="75" customHeight="1" thickBot="1" x14ac:dyDescent="0.25">
      <c r="A5" s="5"/>
      <c r="B5" s="38" t="s">
        <v>7</v>
      </c>
      <c r="C5" s="6"/>
      <c r="D5" s="9">
        <v>0</v>
      </c>
      <c r="E5" s="7"/>
    </row>
    <row r="6" spans="1:5" s="4" customFormat="1" x14ac:dyDescent="0.2">
      <c r="A6" s="5"/>
      <c r="B6" s="6"/>
      <c r="C6" s="6"/>
      <c r="D6" s="6"/>
      <c r="E6" s="7"/>
    </row>
    <row r="7" spans="1:5" s="4" customFormat="1" ht="13.5" thickBot="1" x14ac:dyDescent="0.25">
      <c r="A7" s="5"/>
      <c r="B7" s="6" t="s">
        <v>5</v>
      </c>
      <c r="C7" s="6"/>
      <c r="D7" s="6" t="s">
        <v>12</v>
      </c>
      <c r="E7" s="7"/>
    </row>
    <row r="8" spans="1:5" s="4" customFormat="1" ht="76.5" customHeight="1" thickBot="1" x14ac:dyDescent="0.25">
      <c r="A8" s="5"/>
      <c r="B8" s="38" t="s">
        <v>8</v>
      </c>
      <c r="C8" s="6"/>
      <c r="D8" s="10"/>
      <c r="E8" s="7"/>
    </row>
    <row r="9" spans="1:5" s="4" customFormat="1" ht="13.5" thickBot="1" x14ac:dyDescent="0.25">
      <c r="A9" s="11"/>
      <c r="B9" s="12"/>
      <c r="C9" s="12"/>
      <c r="D9" s="12"/>
      <c r="E9" s="13"/>
    </row>
  </sheetData>
  <phoneticPr fontId="0" type="noConversion"/>
  <conditionalFormatting sqref="D8">
    <cfRule type="cellIs" dxfId="1" priority="1" stopIfTrue="1" operator="equal">
      <formula>0</formula>
    </cfRule>
    <cfRule type="cellIs" dxfId="0" priority="2" stopIfTrue="1" operator="equal">
      <formula>1</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9"/>
  <sheetViews>
    <sheetView workbookViewId="0">
      <selection activeCell="D15" sqref="D15"/>
    </sheetView>
  </sheetViews>
  <sheetFormatPr defaultRowHeight="12.75" x14ac:dyDescent="0.2"/>
  <cols>
    <col min="1" max="1" width="34.28515625" customWidth="1"/>
    <col min="2" max="2" width="35.140625" customWidth="1"/>
  </cols>
  <sheetData>
    <row r="1" spans="1:2" ht="15" x14ac:dyDescent="0.2">
      <c r="A1" s="46" t="s">
        <v>81</v>
      </c>
      <c r="B1" s="46" t="s">
        <v>82</v>
      </c>
    </row>
    <row r="2" spans="1:2" x14ac:dyDescent="0.2">
      <c r="A2" s="47" t="s">
        <v>83</v>
      </c>
      <c r="B2" s="47" t="s">
        <v>84</v>
      </c>
    </row>
    <row r="3" spans="1:2" x14ac:dyDescent="0.2">
      <c r="A3" s="47" t="s">
        <v>85</v>
      </c>
      <c r="B3" s="47" t="s">
        <v>86</v>
      </c>
    </row>
    <row r="4" spans="1:2" x14ac:dyDescent="0.2">
      <c r="A4" s="47" t="s">
        <v>87</v>
      </c>
      <c r="B4" s="47" t="s">
        <v>88</v>
      </c>
    </row>
    <row r="5" spans="1:2" x14ac:dyDescent="0.2">
      <c r="A5" s="47" t="s">
        <v>89</v>
      </c>
      <c r="B5" s="47" t="s">
        <v>90</v>
      </c>
    </row>
    <row r="6" spans="1:2" ht="14.25" x14ac:dyDescent="0.2">
      <c r="A6" s="47" t="s">
        <v>91</v>
      </c>
      <c r="B6" s="45"/>
    </row>
    <row r="7" spans="1:2" ht="14.25" x14ac:dyDescent="0.2">
      <c r="A7" s="47" t="s">
        <v>92</v>
      </c>
      <c r="B7" s="45"/>
    </row>
    <row r="8" spans="1:2" ht="14.25" x14ac:dyDescent="0.2">
      <c r="A8" s="47" t="s">
        <v>93</v>
      </c>
      <c r="B8" s="45"/>
    </row>
    <row r="9" spans="1:2" ht="14.25" x14ac:dyDescent="0.2">
      <c r="A9" s="47" t="s">
        <v>94</v>
      </c>
      <c r="B9" s="45"/>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5"/>
  <sheetViews>
    <sheetView topLeftCell="A7" workbookViewId="0">
      <selection activeCell="F14" sqref="F14"/>
    </sheetView>
  </sheetViews>
  <sheetFormatPr defaultRowHeight="12.75" x14ac:dyDescent="0.2"/>
  <sheetData>
    <row r="1" spans="1:4" ht="14.25" x14ac:dyDescent="0.2">
      <c r="A1" s="49" t="s">
        <v>95</v>
      </c>
      <c r="B1" s="48"/>
      <c r="C1" s="49" t="s">
        <v>96</v>
      </c>
      <c r="D1" s="49" t="s">
        <v>97</v>
      </c>
    </row>
    <row r="2" spans="1:4" ht="14.25" x14ac:dyDescent="0.2">
      <c r="A2" s="49" t="s">
        <v>98</v>
      </c>
      <c r="B2" s="49">
        <v>31</v>
      </c>
      <c r="C2" s="49">
        <v>133</v>
      </c>
      <c r="D2" s="49">
        <v>31</v>
      </c>
    </row>
    <row r="3" spans="1:4" ht="14.25" x14ac:dyDescent="0.2">
      <c r="A3" s="49" t="s">
        <v>99</v>
      </c>
      <c r="B3" s="49">
        <v>14</v>
      </c>
      <c r="C3" s="49">
        <v>133</v>
      </c>
      <c r="D3" s="49">
        <f>D2+B3</f>
        <v>45</v>
      </c>
    </row>
    <row r="4" spans="1:4" ht="14.25" x14ac:dyDescent="0.2">
      <c r="A4" s="49" t="s">
        <v>100</v>
      </c>
      <c r="B4" s="49">
        <v>28</v>
      </c>
      <c r="C4" s="49">
        <v>181</v>
      </c>
      <c r="D4" s="49">
        <f>D3+B4</f>
        <v>73</v>
      </c>
    </row>
    <row r="5" spans="1:4" ht="14.25" x14ac:dyDescent="0.2">
      <c r="A5" s="49" t="s">
        <v>101</v>
      </c>
      <c r="B5" s="49">
        <v>14</v>
      </c>
      <c r="C5" s="49">
        <v>181</v>
      </c>
      <c r="D5" s="49">
        <f>D4+B5</f>
        <v>87</v>
      </c>
    </row>
    <row r="6" spans="1:4" ht="14.25" x14ac:dyDescent="0.2">
      <c r="A6" s="49" t="s">
        <v>102</v>
      </c>
      <c r="B6" s="48">
        <v>33</v>
      </c>
      <c r="C6" s="49">
        <v>181</v>
      </c>
      <c r="D6" s="49">
        <f>D5+B6</f>
        <v>120</v>
      </c>
    </row>
    <row r="7" spans="1:4" ht="14.25" x14ac:dyDescent="0.2">
      <c r="A7" s="50" t="s">
        <v>103</v>
      </c>
      <c r="B7" s="50">
        <v>4</v>
      </c>
      <c r="C7" s="49">
        <v>181</v>
      </c>
      <c r="D7" s="49">
        <f>D6+B7</f>
        <v>124</v>
      </c>
    </row>
    <row r="8" spans="1:4" ht="14.25" x14ac:dyDescent="0.2">
      <c r="A8" s="50" t="s">
        <v>179</v>
      </c>
      <c r="C8" s="49">
        <v>202</v>
      </c>
    </row>
    <row r="9" spans="1:4" ht="14.25" x14ac:dyDescent="0.2">
      <c r="A9" s="50" t="s">
        <v>180</v>
      </c>
      <c r="C9" s="49">
        <v>202</v>
      </c>
    </row>
    <row r="10" spans="1:4" ht="14.25" x14ac:dyDescent="0.2">
      <c r="A10" s="50" t="s">
        <v>181</v>
      </c>
      <c r="C10" s="49">
        <v>202</v>
      </c>
    </row>
    <row r="11" spans="1:4" ht="14.25" x14ac:dyDescent="0.2">
      <c r="A11" s="50" t="s">
        <v>182</v>
      </c>
      <c r="C11" s="49">
        <v>202</v>
      </c>
    </row>
    <row r="12" spans="1:4" ht="14.25" x14ac:dyDescent="0.2">
      <c r="A12" s="50" t="s">
        <v>183</v>
      </c>
      <c r="C12" s="49">
        <v>202</v>
      </c>
    </row>
    <row r="13" spans="1:4" ht="14.25" x14ac:dyDescent="0.2">
      <c r="A13" s="50" t="s">
        <v>184</v>
      </c>
      <c r="C13" s="49">
        <v>202</v>
      </c>
    </row>
    <row r="14" spans="1:4" ht="14.25" x14ac:dyDescent="0.2">
      <c r="A14" s="50" t="s">
        <v>185</v>
      </c>
      <c r="C14" s="49">
        <v>202</v>
      </c>
    </row>
    <row r="15" spans="1:4" ht="14.25" x14ac:dyDescent="0.2">
      <c r="A15" s="50" t="s">
        <v>186</v>
      </c>
      <c r="C15" s="49">
        <v>202</v>
      </c>
    </row>
  </sheetData>
  <phoneticPr fontId="2"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election activeCell="F29" sqref="F29"/>
    </sheetView>
  </sheetViews>
  <sheetFormatPr defaultRowHeight="12.75" x14ac:dyDescent="0.2"/>
  <cols>
    <col min="1" max="1" width="25.5703125" customWidth="1"/>
    <col min="2" max="2" width="40.85546875" customWidth="1"/>
  </cols>
  <sheetData>
    <row r="1" spans="1:4" ht="15" x14ac:dyDescent="0.25">
      <c r="A1" s="57" t="s">
        <v>104</v>
      </c>
      <c r="B1" s="58" t="s">
        <v>105</v>
      </c>
      <c r="C1" s="57" t="s">
        <v>106</v>
      </c>
      <c r="D1" s="57" t="s">
        <v>107</v>
      </c>
    </row>
    <row r="2" spans="1:4" ht="28.5" x14ac:dyDescent="0.2">
      <c r="A2" s="64" t="s">
        <v>113</v>
      </c>
      <c r="B2" s="54" t="s">
        <v>115</v>
      </c>
      <c r="C2" s="53">
        <v>5</v>
      </c>
      <c r="D2" s="53">
        <v>5</v>
      </c>
    </row>
    <row r="3" spans="1:4" ht="27.75" x14ac:dyDescent="0.2">
      <c r="A3" s="65"/>
      <c r="B3" s="59" t="s">
        <v>120</v>
      </c>
      <c r="C3" s="53">
        <v>5</v>
      </c>
      <c r="D3" s="53">
        <v>5</v>
      </c>
    </row>
    <row r="4" spans="1:4" ht="28.5" x14ac:dyDescent="0.2">
      <c r="A4" s="65"/>
      <c r="B4" s="54" t="s">
        <v>44</v>
      </c>
      <c r="C4" s="53">
        <v>5</v>
      </c>
      <c r="D4" s="53">
        <v>5</v>
      </c>
    </row>
    <row r="5" spans="1:4" ht="28.5" x14ac:dyDescent="0.2">
      <c r="A5" s="66"/>
      <c r="B5" s="54" t="s">
        <v>46</v>
      </c>
      <c r="C5" s="53">
        <v>5</v>
      </c>
      <c r="D5" s="53">
        <v>5</v>
      </c>
    </row>
    <row r="6" spans="1:4" ht="14.25" x14ac:dyDescent="0.2">
      <c r="A6" s="67" t="s">
        <v>112</v>
      </c>
      <c r="B6" s="52" t="s">
        <v>108</v>
      </c>
      <c r="C6" s="51">
        <v>3</v>
      </c>
      <c r="D6" s="51">
        <v>3</v>
      </c>
    </row>
    <row r="7" spans="1:4" ht="14.25" x14ac:dyDescent="0.2">
      <c r="A7" s="67"/>
      <c r="B7" s="52" t="s">
        <v>108</v>
      </c>
      <c r="C7" s="51">
        <v>3</v>
      </c>
      <c r="D7" s="51">
        <v>3</v>
      </c>
    </row>
    <row r="8" spans="1:4" ht="14.25" x14ac:dyDescent="0.2">
      <c r="A8" s="68"/>
      <c r="B8" s="52" t="s">
        <v>109</v>
      </c>
      <c r="C8" s="51">
        <v>2</v>
      </c>
      <c r="D8" s="51">
        <v>2</v>
      </c>
    </row>
    <row r="9" spans="1:4" ht="41.25" x14ac:dyDescent="0.2">
      <c r="A9" s="64" t="s">
        <v>110</v>
      </c>
      <c r="B9" s="59" t="s">
        <v>118</v>
      </c>
      <c r="C9" s="53">
        <v>5</v>
      </c>
      <c r="D9" s="53">
        <v>5</v>
      </c>
    </row>
    <row r="10" spans="1:4" ht="27.75" x14ac:dyDescent="0.2">
      <c r="A10" s="65"/>
      <c r="B10" s="54" t="s">
        <v>116</v>
      </c>
      <c r="C10" s="53">
        <v>5</v>
      </c>
      <c r="D10" s="53">
        <v>5</v>
      </c>
    </row>
    <row r="11" spans="1:4" ht="14.25" x14ac:dyDescent="0.2">
      <c r="A11" s="65"/>
      <c r="B11" s="59" t="s">
        <v>121</v>
      </c>
      <c r="C11" s="53">
        <v>2</v>
      </c>
      <c r="D11" s="53">
        <v>2</v>
      </c>
    </row>
    <row r="12" spans="1:4" ht="42.75" x14ac:dyDescent="0.2">
      <c r="A12" s="66"/>
      <c r="B12" s="54" t="s">
        <v>117</v>
      </c>
      <c r="C12" s="53">
        <v>5</v>
      </c>
      <c r="D12" s="53">
        <v>5</v>
      </c>
    </row>
    <row r="13" spans="1:4" ht="23.25" x14ac:dyDescent="0.35">
      <c r="A13" s="53"/>
      <c r="B13" s="55" t="s">
        <v>111</v>
      </c>
      <c r="C13" s="56">
        <v>45</v>
      </c>
      <c r="D13" s="56">
        <v>45</v>
      </c>
    </row>
  </sheetData>
  <mergeCells count="3">
    <mergeCell ref="A9:A12"/>
    <mergeCell ref="A6:A8"/>
    <mergeCell ref="A2:A5"/>
  </mergeCells>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5"/>
  <sheetViews>
    <sheetView workbookViewId="0">
      <selection activeCell="B3" sqref="B3"/>
    </sheetView>
  </sheetViews>
  <sheetFormatPr defaultRowHeight="12.75" x14ac:dyDescent="0.2"/>
  <cols>
    <col min="1" max="1" width="25.5703125" customWidth="1"/>
    <col min="2" max="2" width="40.85546875" customWidth="1"/>
  </cols>
  <sheetData>
    <row r="1" spans="1:4" ht="15" x14ac:dyDescent="0.25">
      <c r="A1" s="57" t="s">
        <v>104</v>
      </c>
      <c r="B1" s="58" t="s">
        <v>105</v>
      </c>
      <c r="C1" s="57" t="s">
        <v>106</v>
      </c>
      <c r="D1" s="57" t="s">
        <v>107</v>
      </c>
    </row>
    <row r="2" spans="1:4" ht="42.75" x14ac:dyDescent="0.2">
      <c r="A2" s="65" t="s">
        <v>164</v>
      </c>
      <c r="B2" s="59" t="s">
        <v>126</v>
      </c>
      <c r="C2" s="53">
        <v>3</v>
      </c>
      <c r="D2" s="53">
        <v>3</v>
      </c>
    </row>
    <row r="3" spans="1:4" ht="28.5" x14ac:dyDescent="0.2">
      <c r="A3" s="65"/>
      <c r="B3" s="59" t="s">
        <v>127</v>
      </c>
      <c r="C3" s="53">
        <v>2</v>
      </c>
      <c r="D3" s="53">
        <v>2</v>
      </c>
    </row>
    <row r="4" spans="1:4" ht="42" x14ac:dyDescent="0.2">
      <c r="A4" s="66"/>
      <c r="B4" s="59" t="s">
        <v>128</v>
      </c>
      <c r="C4" s="53">
        <v>3</v>
      </c>
      <c r="D4" s="53">
        <v>3</v>
      </c>
    </row>
    <row r="5" spans="1:4" ht="14.25" x14ac:dyDescent="0.2">
      <c r="A5" s="67" t="s">
        <v>112</v>
      </c>
      <c r="B5" s="52" t="s">
        <v>108</v>
      </c>
      <c r="C5" s="51">
        <v>3</v>
      </c>
      <c r="D5" s="51">
        <v>3</v>
      </c>
    </row>
    <row r="6" spans="1:4" ht="14.25" x14ac:dyDescent="0.2">
      <c r="A6" s="67"/>
      <c r="B6" s="52" t="s">
        <v>108</v>
      </c>
      <c r="C6" s="51">
        <v>3</v>
      </c>
      <c r="D6" s="51">
        <v>3</v>
      </c>
    </row>
    <row r="7" spans="1:4" ht="14.25" x14ac:dyDescent="0.2">
      <c r="A7" s="68"/>
      <c r="B7" s="52" t="s">
        <v>109</v>
      </c>
      <c r="C7" s="51">
        <v>2</v>
      </c>
      <c r="D7" s="51">
        <v>2</v>
      </c>
    </row>
    <row r="8" spans="1:4" ht="81.75" x14ac:dyDescent="0.2">
      <c r="A8" s="64" t="s">
        <v>110</v>
      </c>
      <c r="B8" s="59" t="s">
        <v>124</v>
      </c>
      <c r="C8" s="53">
        <v>5</v>
      </c>
      <c r="D8" s="53">
        <v>5</v>
      </c>
    </row>
    <row r="9" spans="1:4" ht="27.75" x14ac:dyDescent="0.2">
      <c r="A9" s="65"/>
      <c r="B9" s="59" t="s">
        <v>155</v>
      </c>
      <c r="C9" s="53">
        <v>3</v>
      </c>
      <c r="D9" s="53">
        <v>3</v>
      </c>
    </row>
    <row r="10" spans="1:4" ht="14.25" x14ac:dyDescent="0.2">
      <c r="A10" s="65"/>
      <c r="B10" s="59" t="s">
        <v>152</v>
      </c>
      <c r="C10" s="53">
        <v>5</v>
      </c>
      <c r="D10" s="53">
        <v>5</v>
      </c>
    </row>
    <row r="11" spans="1:4" ht="54.75" x14ac:dyDescent="0.2">
      <c r="A11" s="65"/>
      <c r="B11" s="59" t="s">
        <v>156</v>
      </c>
      <c r="C11" s="53">
        <v>5</v>
      </c>
      <c r="D11" s="53">
        <v>5</v>
      </c>
    </row>
    <row r="12" spans="1:4" ht="54.75" x14ac:dyDescent="0.2">
      <c r="A12" s="65"/>
      <c r="B12" s="59" t="s">
        <v>158</v>
      </c>
      <c r="C12" s="53">
        <v>3</v>
      </c>
      <c r="D12" s="53">
        <v>3</v>
      </c>
    </row>
    <row r="13" spans="1:4" ht="54.75" x14ac:dyDescent="0.2">
      <c r="A13" s="65"/>
      <c r="B13" s="59" t="s">
        <v>159</v>
      </c>
      <c r="C13" s="53">
        <v>5</v>
      </c>
      <c r="D13" s="53">
        <v>5</v>
      </c>
    </row>
    <row r="14" spans="1:4" ht="41.25" x14ac:dyDescent="0.2">
      <c r="A14" s="66"/>
      <c r="B14" s="59" t="s">
        <v>154</v>
      </c>
      <c r="C14" s="53">
        <v>5</v>
      </c>
      <c r="D14" s="53">
        <v>5</v>
      </c>
    </row>
    <row r="15" spans="1:4" ht="23.25" x14ac:dyDescent="0.35">
      <c r="A15" s="53"/>
      <c r="B15" s="55" t="s">
        <v>111</v>
      </c>
      <c r="C15" s="56">
        <f>SUM(C2:C14)</f>
        <v>47</v>
      </c>
      <c r="D15" s="56">
        <f>SUM(D2:D14)</f>
        <v>47</v>
      </c>
    </row>
  </sheetData>
  <mergeCells count="3">
    <mergeCell ref="A2:A4"/>
    <mergeCell ref="A5:A7"/>
    <mergeCell ref="A8:A14"/>
  </mergeCells>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2"/>
  <sheetViews>
    <sheetView workbookViewId="0">
      <selection activeCell="D9" sqref="D9"/>
    </sheetView>
  </sheetViews>
  <sheetFormatPr defaultRowHeight="12.75" x14ac:dyDescent="0.2"/>
  <cols>
    <col min="1" max="1" width="25.5703125" customWidth="1"/>
    <col min="2" max="2" width="40.85546875" customWidth="1"/>
  </cols>
  <sheetData>
    <row r="1" spans="1:4" ht="15" x14ac:dyDescent="0.25">
      <c r="A1" s="62" t="s">
        <v>104</v>
      </c>
      <c r="B1" s="63" t="s">
        <v>105</v>
      </c>
      <c r="C1" s="62" t="s">
        <v>106</v>
      </c>
      <c r="D1" s="62" t="s">
        <v>107</v>
      </c>
    </row>
    <row r="2" spans="1:4" ht="14.25" x14ac:dyDescent="0.2">
      <c r="A2" s="65" t="s">
        <v>165</v>
      </c>
      <c r="B2" s="59" t="s">
        <v>163</v>
      </c>
      <c r="C2" s="53">
        <v>0</v>
      </c>
      <c r="D2" s="53">
        <v>3</v>
      </c>
    </row>
    <row r="3" spans="1:4" ht="14.25" x14ac:dyDescent="0.2">
      <c r="A3" s="65"/>
      <c r="B3" s="59" t="str">
        <f>BACKLOG!C40</f>
        <v>可以将4X6布局的胶片转化为电子胶片</v>
      </c>
      <c r="C3" s="53">
        <v>0</v>
      </c>
      <c r="D3" s="53">
        <f>BACKLOG!F40</f>
        <v>5</v>
      </c>
    </row>
    <row r="4" spans="1:4" ht="27" customHeight="1" x14ac:dyDescent="0.2">
      <c r="A4" s="66"/>
      <c r="B4" s="59" t="str">
        <f>BACKLOG!C41</f>
        <v>可以将DICOM文件转化为BMP文件供后续OCR识别使用</v>
      </c>
      <c r="C4" s="53">
        <v>0</v>
      </c>
      <c r="D4" s="53">
        <f>BACKLOG!F41</f>
        <v>3</v>
      </c>
    </row>
    <row r="5" spans="1:4" ht="14.25" x14ac:dyDescent="0.2">
      <c r="A5" s="67" t="s">
        <v>112</v>
      </c>
      <c r="B5" s="52" t="s">
        <v>108</v>
      </c>
      <c r="C5" s="51">
        <v>0</v>
      </c>
      <c r="D5" s="51">
        <v>3</v>
      </c>
    </row>
    <row r="6" spans="1:4" ht="14.25" x14ac:dyDescent="0.2">
      <c r="A6" s="67"/>
      <c r="B6" s="52" t="s">
        <v>108</v>
      </c>
      <c r="C6" s="51">
        <v>0</v>
      </c>
      <c r="D6" s="51">
        <v>3</v>
      </c>
    </row>
    <row r="7" spans="1:4" ht="14.25" x14ac:dyDescent="0.2">
      <c r="A7" s="68"/>
      <c r="B7" s="52" t="s">
        <v>109</v>
      </c>
      <c r="C7" s="51">
        <v>0</v>
      </c>
      <c r="D7" s="51">
        <v>2</v>
      </c>
    </row>
    <row r="8" spans="1:4" ht="41.25" x14ac:dyDescent="0.2">
      <c r="A8" s="64" t="s">
        <v>110</v>
      </c>
      <c r="B8" s="59" t="s">
        <v>160</v>
      </c>
      <c r="C8" s="53">
        <v>0</v>
      </c>
      <c r="D8" s="53">
        <v>3</v>
      </c>
    </row>
    <row r="9" spans="1:4" ht="54.75" x14ac:dyDescent="0.2">
      <c r="A9" s="65"/>
      <c r="B9" s="59" t="s">
        <v>153</v>
      </c>
      <c r="C9" s="53">
        <v>0</v>
      </c>
      <c r="D9" s="53">
        <v>5</v>
      </c>
    </row>
    <row r="10" spans="1:4" ht="27.75" customHeight="1" x14ac:dyDescent="0.2">
      <c r="A10" s="65"/>
      <c r="B10" s="59" t="str">
        <f>BACKLOG!C58</f>
        <v>作为集成工程师，我希望可以扩展打开报告的操作</v>
      </c>
      <c r="C10" s="53">
        <v>5</v>
      </c>
      <c r="D10" s="53">
        <v>5</v>
      </c>
    </row>
    <row r="11" spans="1:4" ht="27.75" x14ac:dyDescent="0.2">
      <c r="A11" s="65"/>
      <c r="B11" s="59" t="str">
        <f>BACKLOG!C59</f>
        <v>作为集成工程师，我希望可以扩展报告退回的操作</v>
      </c>
      <c r="C11" s="53">
        <v>3</v>
      </c>
      <c r="D11" s="53">
        <f>BACKLOG!F59</f>
        <v>3</v>
      </c>
    </row>
    <row r="12" spans="1:4" ht="23.25" x14ac:dyDescent="0.35">
      <c r="A12" s="53"/>
      <c r="B12" s="55" t="s">
        <v>111</v>
      </c>
      <c r="C12" s="56">
        <f>SUM(C2:C11)</f>
        <v>8</v>
      </c>
      <c r="D12" s="56">
        <f>SUM(D2:D11)</f>
        <v>35</v>
      </c>
    </row>
  </sheetData>
  <mergeCells count="3">
    <mergeCell ref="A2:A4"/>
    <mergeCell ref="A5:A7"/>
    <mergeCell ref="A8:A11"/>
  </mergeCells>
  <phoneticPr fontId="2"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9"/>
  <sheetViews>
    <sheetView tabSelected="1" workbookViewId="0">
      <selection activeCell="F20" sqref="F20"/>
    </sheetView>
  </sheetViews>
  <sheetFormatPr defaultRowHeight="12.75" x14ac:dyDescent="0.2"/>
  <cols>
    <col min="1" max="1" width="25.5703125" customWidth="1"/>
    <col min="2" max="2" width="40.85546875" customWidth="1"/>
  </cols>
  <sheetData>
    <row r="1" spans="1:4" ht="15" x14ac:dyDescent="0.25">
      <c r="A1" s="62" t="s">
        <v>104</v>
      </c>
      <c r="B1" s="63" t="s">
        <v>105</v>
      </c>
      <c r="C1" s="62" t="s">
        <v>106</v>
      </c>
      <c r="D1" s="62" t="s">
        <v>107</v>
      </c>
    </row>
    <row r="2" spans="1:4" ht="14.25" x14ac:dyDescent="0.2">
      <c r="A2" s="67" t="s">
        <v>112</v>
      </c>
      <c r="B2" s="52" t="s">
        <v>108</v>
      </c>
      <c r="C2" s="51">
        <v>0</v>
      </c>
      <c r="D2" s="51">
        <v>3</v>
      </c>
    </row>
    <row r="3" spans="1:4" ht="14.25" x14ac:dyDescent="0.2">
      <c r="A3" s="68"/>
      <c r="B3" s="52" t="s">
        <v>187</v>
      </c>
      <c r="C3" s="51">
        <v>0</v>
      </c>
      <c r="D3" s="51">
        <v>1</v>
      </c>
    </row>
    <row r="4" spans="1:4" ht="41.25" x14ac:dyDescent="0.2">
      <c r="A4" s="64" t="s">
        <v>110</v>
      </c>
      <c r="B4" s="59" t="s">
        <v>235</v>
      </c>
      <c r="C4" s="53">
        <v>0</v>
      </c>
      <c r="D4" s="53">
        <v>5</v>
      </c>
    </row>
    <row r="5" spans="1:4" ht="41.25" x14ac:dyDescent="0.2">
      <c r="A5" s="65"/>
      <c r="B5" s="59" t="s">
        <v>236</v>
      </c>
      <c r="C5" s="53">
        <v>0</v>
      </c>
      <c r="D5" s="53">
        <v>5</v>
      </c>
    </row>
    <row r="6" spans="1:4" ht="54.75" x14ac:dyDescent="0.2">
      <c r="A6" s="65"/>
      <c r="B6" s="59" t="s">
        <v>237</v>
      </c>
      <c r="C6" s="53">
        <v>0</v>
      </c>
      <c r="D6" s="53">
        <v>5</v>
      </c>
    </row>
    <row r="7" spans="1:4" ht="27.75" x14ac:dyDescent="0.2">
      <c r="A7" s="65"/>
      <c r="B7" s="59" t="s">
        <v>238</v>
      </c>
      <c r="C7" s="53"/>
      <c r="D7" s="53">
        <v>5</v>
      </c>
    </row>
    <row r="8" spans="1:4" ht="27.75" customHeight="1" x14ac:dyDescent="0.2">
      <c r="A8" s="65"/>
      <c r="B8" s="59" t="s">
        <v>239</v>
      </c>
      <c r="C8" s="53">
        <v>0</v>
      </c>
      <c r="D8" s="53">
        <v>3</v>
      </c>
    </row>
    <row r="9" spans="1:4" ht="23.25" x14ac:dyDescent="0.35">
      <c r="A9" s="53"/>
      <c r="B9" s="55" t="s">
        <v>111</v>
      </c>
      <c r="C9" s="56">
        <f>SUM(C2:C8)</f>
        <v>0</v>
      </c>
      <c r="D9" s="56">
        <f>SUM(D2:D8)</f>
        <v>27</v>
      </c>
    </row>
  </sheetData>
  <mergeCells count="2">
    <mergeCell ref="A2:A3"/>
    <mergeCell ref="A4:A8"/>
  </mergeCells>
  <phoneticPr fontId="2"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6"/>
  <sheetViews>
    <sheetView topLeftCell="A7" workbookViewId="0">
      <selection activeCell="L54" sqref="L54"/>
    </sheetView>
  </sheetViews>
  <sheetFormatPr defaultRowHeight="12.75" x14ac:dyDescent="0.2"/>
  <sheetData>
    <row r="1" spans="1:3" x14ac:dyDescent="0.2">
      <c r="A1" s="61" t="s">
        <v>132</v>
      </c>
      <c r="B1">
        <v>30</v>
      </c>
      <c r="C1">
        <f>$B$1</f>
        <v>30</v>
      </c>
    </row>
    <row r="2" spans="1:3" ht="14.25" x14ac:dyDescent="0.2">
      <c r="A2" s="61" t="s">
        <v>133</v>
      </c>
      <c r="B2">
        <v>29</v>
      </c>
      <c r="C2">
        <f>$B$1*4/5</f>
        <v>24</v>
      </c>
    </row>
    <row r="3" spans="1:3" ht="14.25" x14ac:dyDescent="0.2">
      <c r="A3" s="61" t="s">
        <v>134</v>
      </c>
      <c r="B3">
        <v>21</v>
      </c>
      <c r="C3">
        <f>$B$1*3/5</f>
        <v>18</v>
      </c>
    </row>
    <row r="4" spans="1:3" ht="14.25" x14ac:dyDescent="0.2">
      <c r="A4" s="61" t="s">
        <v>135</v>
      </c>
      <c r="B4">
        <v>16</v>
      </c>
      <c r="C4">
        <f>$B$1*2/5</f>
        <v>12</v>
      </c>
    </row>
    <row r="5" spans="1:3" ht="14.25" x14ac:dyDescent="0.2">
      <c r="A5" s="61" t="s">
        <v>136</v>
      </c>
      <c r="B5">
        <v>16</v>
      </c>
      <c r="C5">
        <f>$B$1*1/5</f>
        <v>6</v>
      </c>
    </row>
    <row r="6" spans="1:3" ht="14.25" x14ac:dyDescent="0.2">
      <c r="A6" s="61" t="s">
        <v>137</v>
      </c>
      <c r="B6">
        <v>16</v>
      </c>
      <c r="C6">
        <f>$B$1*0/5</f>
        <v>0</v>
      </c>
    </row>
  </sheetData>
  <phoneticPr fontId="2"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6"/>
  <sheetViews>
    <sheetView workbookViewId="0">
      <selection activeCell="K37" sqref="K37"/>
    </sheetView>
  </sheetViews>
  <sheetFormatPr defaultRowHeight="12.75" x14ac:dyDescent="0.2"/>
  <sheetData>
    <row r="1" spans="1:3" x14ac:dyDescent="0.2">
      <c r="A1" s="61" t="s">
        <v>132</v>
      </c>
      <c r="B1">
        <v>28</v>
      </c>
      <c r="C1">
        <f>$B$1</f>
        <v>28</v>
      </c>
    </row>
    <row r="2" spans="1:3" ht="14.25" x14ac:dyDescent="0.2">
      <c r="A2" s="61" t="s">
        <v>133</v>
      </c>
      <c r="B2">
        <v>25</v>
      </c>
      <c r="C2">
        <f>$B$1*4/5</f>
        <v>22.4</v>
      </c>
    </row>
    <row r="3" spans="1:3" ht="14.25" x14ac:dyDescent="0.2">
      <c r="A3" s="61" t="s">
        <v>134</v>
      </c>
      <c r="B3">
        <v>19</v>
      </c>
      <c r="C3">
        <f>$B$1*3/5</f>
        <v>16.8</v>
      </c>
    </row>
    <row r="4" spans="1:3" ht="14.25" x14ac:dyDescent="0.2">
      <c r="A4" s="61" t="s">
        <v>135</v>
      </c>
      <c r="B4">
        <v>11</v>
      </c>
      <c r="C4">
        <f>$B$1*2/5</f>
        <v>11.2</v>
      </c>
    </row>
    <row r="5" spans="1:3" ht="14.25" x14ac:dyDescent="0.2">
      <c r="A5" s="61" t="s">
        <v>136</v>
      </c>
      <c r="B5">
        <v>5</v>
      </c>
      <c r="C5">
        <f>$B$1*1/5</f>
        <v>5.6</v>
      </c>
    </row>
    <row r="6" spans="1:3" ht="14.25" x14ac:dyDescent="0.2">
      <c r="A6" s="61" t="s">
        <v>137</v>
      </c>
      <c r="B6">
        <v>0</v>
      </c>
      <c r="C6">
        <f>$B$1*0/5</f>
        <v>0</v>
      </c>
    </row>
  </sheetData>
  <phoneticPr fontId="2" type="noConversion"/>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6"/>
  <sheetViews>
    <sheetView workbookViewId="0">
      <selection activeCell="C6" sqref="C6"/>
    </sheetView>
  </sheetViews>
  <sheetFormatPr defaultRowHeight="12.75" x14ac:dyDescent="0.2"/>
  <sheetData>
    <row r="1" spans="1:3" x14ac:dyDescent="0.2">
      <c r="A1" s="61" t="s">
        <v>132</v>
      </c>
      <c r="B1">
        <v>30</v>
      </c>
      <c r="C1">
        <f>$B$1</f>
        <v>30</v>
      </c>
    </row>
    <row r="2" spans="1:3" ht="14.25" x14ac:dyDescent="0.2">
      <c r="A2" s="61" t="s">
        <v>133</v>
      </c>
      <c r="B2">
        <v>30</v>
      </c>
      <c r="C2">
        <f>$B$1*4/5</f>
        <v>24</v>
      </c>
    </row>
    <row r="3" spans="1:3" ht="14.25" x14ac:dyDescent="0.2">
      <c r="A3" s="61" t="s">
        <v>134</v>
      </c>
      <c r="B3">
        <v>29</v>
      </c>
      <c r="C3">
        <f>$B$1*3/5</f>
        <v>18</v>
      </c>
    </row>
    <row r="4" spans="1:3" ht="14.25" x14ac:dyDescent="0.2">
      <c r="A4" s="61" t="s">
        <v>135</v>
      </c>
      <c r="B4">
        <v>16</v>
      </c>
      <c r="C4">
        <f>$B$1*2/5</f>
        <v>12</v>
      </c>
    </row>
    <row r="5" spans="1:3" ht="14.25" x14ac:dyDescent="0.2">
      <c r="A5" s="61" t="s">
        <v>136</v>
      </c>
      <c r="B5">
        <v>16</v>
      </c>
      <c r="C5">
        <f>$B$1*1/5</f>
        <v>6</v>
      </c>
    </row>
    <row r="6" spans="1:3" ht="14.25" x14ac:dyDescent="0.2">
      <c r="A6" s="61" t="s">
        <v>137</v>
      </c>
      <c r="B6">
        <v>16</v>
      </c>
      <c r="C6">
        <f>$B$1*0/5</f>
        <v>0</v>
      </c>
    </row>
  </sheetData>
  <phoneticPr fontId="2"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6"/>
  <sheetViews>
    <sheetView workbookViewId="0">
      <selection activeCell="B3" sqref="B3"/>
    </sheetView>
  </sheetViews>
  <sheetFormatPr defaultRowHeight="12.75" x14ac:dyDescent="0.2"/>
  <sheetData>
    <row r="1" spans="1:3" x14ac:dyDescent="0.2">
      <c r="A1" s="61" t="s">
        <v>132</v>
      </c>
      <c r="B1">
        <v>28</v>
      </c>
      <c r="C1">
        <f>$B$1</f>
        <v>28</v>
      </c>
    </row>
    <row r="2" spans="1:3" ht="14.25" x14ac:dyDescent="0.2">
      <c r="A2" s="61" t="s">
        <v>133</v>
      </c>
      <c r="B2">
        <v>18</v>
      </c>
      <c r="C2">
        <f>$B$1*4/5</f>
        <v>22.4</v>
      </c>
    </row>
    <row r="3" spans="1:3" ht="14.25" x14ac:dyDescent="0.2">
      <c r="A3" s="61" t="s">
        <v>134</v>
      </c>
      <c r="B3">
        <v>8</v>
      </c>
      <c r="C3">
        <f>$B$1*3/5</f>
        <v>16.8</v>
      </c>
    </row>
    <row r="4" spans="1:3" ht="14.25" x14ac:dyDescent="0.2">
      <c r="A4" s="61" t="s">
        <v>135</v>
      </c>
      <c r="B4">
        <v>10</v>
      </c>
      <c r="C4">
        <f>$B$1*2/5</f>
        <v>11.2</v>
      </c>
    </row>
    <row r="5" spans="1:3" ht="14.25" x14ac:dyDescent="0.2">
      <c r="A5" s="61" t="s">
        <v>136</v>
      </c>
      <c r="B5">
        <v>5</v>
      </c>
      <c r="C5">
        <f>$B$1*1/5</f>
        <v>5.6</v>
      </c>
    </row>
    <row r="6" spans="1:3" ht="14.25" x14ac:dyDescent="0.2">
      <c r="A6" s="61" t="s">
        <v>137</v>
      </c>
      <c r="B6">
        <v>0</v>
      </c>
      <c r="C6">
        <f>$B$1*0/5</f>
        <v>0</v>
      </c>
    </row>
  </sheetData>
  <phoneticPr fontId="2"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6"/>
  <sheetViews>
    <sheetView workbookViewId="0">
      <selection activeCell="M17" sqref="M17"/>
    </sheetView>
  </sheetViews>
  <sheetFormatPr defaultRowHeight="12.75" x14ac:dyDescent="0.2"/>
  <sheetData>
    <row r="1" spans="1:3" x14ac:dyDescent="0.2">
      <c r="A1" s="61" t="s">
        <v>132</v>
      </c>
      <c r="B1">
        <v>30</v>
      </c>
      <c r="C1">
        <f>$B$1</f>
        <v>30</v>
      </c>
    </row>
    <row r="2" spans="1:3" ht="14.25" x14ac:dyDescent="0.2">
      <c r="A2" s="61" t="s">
        <v>133</v>
      </c>
      <c r="B2">
        <v>29</v>
      </c>
      <c r="C2">
        <f>$B$1*4/5</f>
        <v>24</v>
      </c>
    </row>
    <row r="3" spans="1:3" ht="14.25" x14ac:dyDescent="0.2">
      <c r="A3" s="61" t="s">
        <v>134</v>
      </c>
      <c r="B3">
        <v>26</v>
      </c>
      <c r="C3">
        <f>$B$1*3/5</f>
        <v>18</v>
      </c>
    </row>
    <row r="4" spans="1:3" ht="14.25" x14ac:dyDescent="0.2">
      <c r="A4" s="61" t="s">
        <v>135</v>
      </c>
      <c r="B4">
        <v>26</v>
      </c>
      <c r="C4">
        <f>$B$1*2/5</f>
        <v>12</v>
      </c>
    </row>
    <row r="5" spans="1:3" ht="14.25" x14ac:dyDescent="0.2">
      <c r="A5" s="61" t="s">
        <v>136</v>
      </c>
      <c r="B5">
        <v>26</v>
      </c>
      <c r="C5">
        <f>$B$1*1/5</f>
        <v>6</v>
      </c>
    </row>
    <row r="6" spans="1:3" ht="14.25" x14ac:dyDescent="0.2">
      <c r="A6" s="61" t="s">
        <v>137</v>
      </c>
      <c r="B6">
        <v>26</v>
      </c>
      <c r="C6">
        <f>$B$1*0/5</f>
        <v>0</v>
      </c>
    </row>
  </sheetData>
  <phoneticPr fontId="2"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15</vt:i4>
      </vt:variant>
      <vt:variant>
        <vt:lpstr>命名范围</vt:lpstr>
      </vt:variant>
      <vt:variant>
        <vt:i4>1</vt:i4>
      </vt:variant>
    </vt:vector>
  </HeadingPairs>
  <TitlesOfParts>
    <vt:vector size="16" baseType="lpstr">
      <vt:lpstr>README</vt:lpstr>
      <vt:lpstr>BACKLOG</vt:lpstr>
      <vt:lpstr>CARDS</vt:lpstr>
      <vt:lpstr>TEMPLATE</vt:lpstr>
      <vt:lpstr>DoD</vt:lpstr>
      <vt:lpstr>Chart</vt:lpstr>
      <vt:lpstr>Sprint1-2</vt:lpstr>
      <vt:lpstr>Sprint3-4</vt:lpstr>
      <vt:lpstr>Sprint5-6</vt:lpstr>
      <vt:lpstr>Sprint7</vt:lpstr>
      <vt:lpstr>SP2 Burn Down</vt:lpstr>
      <vt:lpstr>SP3 Burn Down</vt:lpstr>
      <vt:lpstr>SP4 Burn Down</vt:lpstr>
      <vt:lpstr>SP5 Burn Down</vt:lpstr>
      <vt:lpstr>SP6 Burn Down</vt:lpstr>
      <vt:lpstr>BACKLOG!Print_Area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Stefan Nijenhuis</dc:creator>
  <cp:lastModifiedBy>zhaoqy</cp:lastModifiedBy>
  <cp:lastPrinted>2013-07-23T06:14:11Z</cp:lastPrinted>
  <dcterms:created xsi:type="dcterms:W3CDTF">2007-08-23T17:44:31Z</dcterms:created>
  <dcterms:modified xsi:type="dcterms:W3CDTF">2013-07-24T03:28:33Z</dcterms:modified>
</cp:coreProperties>
</file>